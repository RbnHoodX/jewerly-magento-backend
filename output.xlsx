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davi\Downloads\"/>
    </mc:Choice>
  </mc:AlternateContent>
  <xr:revisionPtr revIDLastSave="0" documentId="8_{E21E051F-8012-46B2-BE36-DADFBE0C6A3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in Order Page" sheetId="1" r:id="rId1"/>
    <sheet name="Customer Notes" sheetId="2" r:id="rId2"/>
    <sheet name="Diamondse" sheetId="3" r:id="rId3"/>
    <sheet name="Casting" sheetId="4" r:id="rId4"/>
    <sheet name="3D Related" sheetId="5" r:id="rId5"/>
    <sheet name="Employee Com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6" l="1"/>
  <c r="E40" i="6"/>
  <c r="E39" i="6"/>
  <c r="E38" i="6"/>
  <c r="E37" i="6"/>
  <c r="F36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19" i="6"/>
  <c r="E18" i="6"/>
  <c r="E17" i="6"/>
  <c r="E16" i="6"/>
  <c r="E15" i="6"/>
  <c r="E14" i="6"/>
  <c r="E13" i="6"/>
  <c r="E12" i="6"/>
  <c r="E11" i="6"/>
  <c r="E9" i="6"/>
  <c r="E8" i="6"/>
  <c r="E7" i="6"/>
  <c r="E6" i="6"/>
  <c r="E5" i="6"/>
  <c r="E4" i="6"/>
  <c r="E3" i="6"/>
  <c r="E2" i="6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<sst xmlns="http://schemas.openxmlformats.org/spreadsheetml/2006/main" count="1003" uniqueCount="469">
  <si>
    <t>Order #</t>
  </si>
  <si>
    <t>Customization Notes</t>
  </si>
  <si>
    <t>Order Date</t>
  </si>
  <si>
    <t>Customer Id</t>
  </si>
  <si>
    <t>Date of Birth</t>
  </si>
  <si>
    <t>Billing First Name:</t>
  </si>
  <si>
    <t>Billing Last Name</t>
  </si>
  <si>
    <t>Billing Street1</t>
  </si>
  <si>
    <t>Billing City</t>
  </si>
  <si>
    <t>Billing Region</t>
  </si>
  <si>
    <t>Billing PostCode</t>
  </si>
  <si>
    <t>Billing Country</t>
  </si>
  <si>
    <t>Billing Tel</t>
  </si>
  <si>
    <t>How did you hear:</t>
  </si>
  <si>
    <t>Shipping First Name:</t>
  </si>
  <si>
    <t>Shipping Last Name</t>
  </si>
  <si>
    <t>Shipping Street1</t>
  </si>
  <si>
    <t>Shipping City</t>
  </si>
  <si>
    <t>Shipping Region</t>
  </si>
  <si>
    <t>Shipping PostCode</t>
  </si>
  <si>
    <t>Shipping Country</t>
  </si>
  <si>
    <t>Shipping Tel</t>
  </si>
  <si>
    <t>Product Image 1</t>
  </si>
  <si>
    <t>SKU 1</t>
  </si>
  <si>
    <t>Stock Number: 1</t>
  </si>
  <si>
    <t>product Information 1</t>
  </si>
  <si>
    <t>Price 1</t>
  </si>
  <si>
    <t>Qty 1</t>
  </si>
  <si>
    <t>Row Subtotal 1</t>
  </si>
  <si>
    <t>Comment 1</t>
  </si>
  <si>
    <t>Product Image 2</t>
  </si>
  <si>
    <t>SKU 2</t>
  </si>
  <si>
    <t>Stock Number: 2</t>
  </si>
  <si>
    <t>product Information 2</t>
  </si>
  <si>
    <t>Price 2</t>
  </si>
  <si>
    <t>Qty 2</t>
  </si>
  <si>
    <t>Row Subtotal 2</t>
  </si>
  <si>
    <t>Comment 2</t>
  </si>
  <si>
    <t>90735</t>
  </si>
  <si>
    <t>Shopify Order 120155 , Added by: Jenny , On: 06-03-2025 19:20:10</t>
  </si>
  <si>
    <t>Jun 3, 2025 12:59:50 PM</t>
  </si>
  <si>
    <t>41207</t>
  </si>
  <si>
    <t>Jan 11, 2000</t>
  </si>
  <si>
    <t>Warren</t>
  </si>
  <si>
    <t>Wright</t>
  </si>
  <si>
    <t>2012 Russell Blvd</t>
  </si>
  <si>
    <t>Saint Louis</t>
  </si>
  <si>
    <t>Missouri</t>
  </si>
  <si>
    <t>63104-2652</t>
  </si>
  <si>
    <t>United States</t>
  </si>
  <si>
    <t>3143237320</t>
  </si>
  <si>
    <t>https://old-admin.primestyle.com/cron/custom-product/100061264_17489927820.jpg</t>
  </si>
  <si>
    <t>CP</t>
  </si>
  <si>
    <t>Choose Ring Size : 7</t>
  </si>
  <si>
    <t>$3,306.59</t>
  </si>
  <si>
    <t>1</t>
  </si>
  <si>
    <t>14KT White Gold / 3.45CT Total (0.35CT Center) / G-H / VS1-VS2 (Our Premium) SKU: 16042-5 https://primestyle.com/products/3-45-4-60-ct-round-princess-emerald-cut-diamonds-bridal-set-16042?variant=36862409441443</t>
  </si>
  <si>
    <t>90734</t>
  </si>
  <si>
    <t>Shopify Order 120154 , Added by: Jenny , On: 06-03-2025 11:58:57</t>
  </si>
  <si>
    <t>Jun 3, 2025 11:55:59 AM</t>
  </si>
  <si>
    <t>20188</t>
  </si>
  <si>
    <t>MARIA</t>
  </si>
  <si>
    <t>VARGAS</t>
  </si>
  <si>
    <t>12450 MARSHALL AVE #133</t>
  </si>
  <si>
    <t>CHINO</t>
  </si>
  <si>
    <t>California</t>
  </si>
  <si>
    <t>91710</t>
  </si>
  <si>
    <t>9092485854</t>
  </si>
  <si>
    <t>https://old-admin.primestyle.com/cron/custom-product/100061263_17489662940.jpg</t>
  </si>
  <si>
    <t>Choose Ring Size : 7.5</t>
  </si>
  <si>
    <t>$1,488.59</t>
  </si>
  <si>
    <t>18KT Rose Gold / 1.00CT Total / I-J / VS2-SI1 (Most Popular) SKU: 15277-10 https://primestyle.com/products/1-00-ct-round-cut-diamonds-wedding-band-15277?variant=36877426426019</t>
  </si>
  <si>
    <t>90733</t>
  </si>
  <si>
    <t>Shopify Order 120153 , Added by: Jenny , On: 06-03-2025 11:52:21</t>
  </si>
  <si>
    <t>Jun 3, 2025 11:44:38 AM</t>
  </si>
  <si>
    <t>87599</t>
  </si>
  <si>
    <t>Jessica</t>
  </si>
  <si>
    <t>Oria</t>
  </si>
  <si>
    <t>606 West 30th Street, 39D</t>
  </si>
  <si>
    <t>New York</t>
  </si>
  <si>
    <t>10001</t>
  </si>
  <si>
    <t>+17868281361</t>
  </si>
  <si>
    <t>https://old-admin.primestyle.com/cron/custom-product/100061262_17489658760.jpg</t>
  </si>
  <si>
    <t>Choose Ring Size : 8 Inches</t>
  </si>
  <si>
    <t>$3,668.39</t>
  </si>
  <si>
    <t>14KT White Gold / 7.00CT Total / F-G/VS1-VS2 (Excellent) SKU: 21106LB-2 https://primestyle.com/products/tennis-bracelets-21106lb?variant=48755235750072</t>
  </si>
  <si>
    <t>90732</t>
  </si>
  <si>
    <t>Shopify Order 120152 , Added by: Jenny , On: 06-02-2025 10:59:47</t>
  </si>
  <si>
    <t>Jun 2, 2025 10:52:46 AM</t>
  </si>
  <si>
    <t>87598</t>
  </si>
  <si>
    <t>Siobhan</t>
  </si>
  <si>
    <t>Pucillo</t>
  </si>
  <si>
    <t>110 W Maple Ave</t>
  </si>
  <si>
    <t>Myerstown</t>
  </si>
  <si>
    <t>Pennsylvania</t>
  </si>
  <si>
    <t>17067</t>
  </si>
  <si>
    <t>000000</t>
  </si>
  <si>
    <t>https://old-admin.primestyle.com/cron/custom-product/100061261_17488763590.jpg</t>
  </si>
  <si>
    <t>$2,478.99</t>
  </si>
  <si>
    <t>14KT Yellow Gold / 3.00CT Total / F-G/VS1-VS2 (Excellent) SKU: 15415LB-31 https://primestyle.com/products/0-60-5-00-ct-round-cut-lab-grown-diamonds-stud-earrings-15415lb?variant=42514386288824</t>
  </si>
  <si>
    <t>90731</t>
  </si>
  <si>
    <t>Shopify Order 120151 , Added by: Jenny , On: 06-06-2025 12:46:28</t>
  </si>
  <si>
    <t>May 29, 2025 1:37:26 PM</t>
  </si>
  <si>
    <t>87597</t>
  </si>
  <si>
    <t>Audrey</t>
  </si>
  <si>
    <t>Daniel</t>
  </si>
  <si>
    <t>4701 North County Road 1900</t>
  </si>
  <si>
    <t>Lubbock</t>
  </si>
  <si>
    <t>Texas</t>
  </si>
  <si>
    <t>79415</t>
  </si>
  <si>
    <t>+18067908416</t>
  </si>
  <si>
    <t>https://old-admin.primestyle.com/cron/custom-product/100061260_17485444080.jpg</t>
  </si>
  <si>
    <t>Choose Ring Size : 13</t>
  </si>
  <si>
    <t>$1,719.98</t>
  </si>
  <si>
    <t>14KT Yellow Gold / 1.20CT Total / G-H / VS1-VS2 (Our Premium) SKU: 15680-6 https://primestyle.com/products/1-20-ct-round-cut-diamonds-mens-wedding-band-15680?variant=36875390910627</t>
  </si>
  <si>
    <t>90730</t>
  </si>
  <si>
    <t>Ahopify Order 120150 , Added by: Jenny , On: 05-29-2025 12:18:23</t>
  </si>
  <si>
    <t>May 29, 2025 12:16:26 PM</t>
  </si>
  <si>
    <t>87596</t>
  </si>
  <si>
    <t>J'Quon</t>
  </si>
  <si>
    <t>Callahan</t>
  </si>
  <si>
    <t>3201 Mason St</t>
  </si>
  <si>
    <t>Flint</t>
  </si>
  <si>
    <t>Michigan</t>
  </si>
  <si>
    <t>48505</t>
  </si>
  <si>
    <t>+18102526603</t>
  </si>
  <si>
    <t>https://old-admin.primestyle.com/cron/custom-product/100061259_17485354610.jpg</t>
  </si>
  <si>
    <t>Choose Ring Size : 8</t>
  </si>
  <si>
    <t>$2,341.98</t>
  </si>
  <si>
    <t>14KT Yellow Gold / 1.30CT Total (0.55CT Center) / I-J / VS2-SI1 (Most Popular) SKU: 110354-15 https://primestyle.com/products/1-10-2-25-ct-round-heart-cut-diamonds-bridal-set-110354?variant=36862726078627</t>
  </si>
  <si>
    <t>90729</t>
  </si>
  <si>
    <t>Shopify Order 120149 , Added by: Jenny , On: 05-29-2025 12:08:29</t>
  </si>
  <si>
    <t>May 29, 2025 12:05:20 PM</t>
  </si>
  <si>
    <t>87595</t>
  </si>
  <si>
    <t>Rourke</t>
  </si>
  <si>
    <t>Scott</t>
  </si>
  <si>
    <t>133 Front St</t>
  </si>
  <si>
    <t>Fife Lake</t>
  </si>
  <si>
    <t>49633</t>
  </si>
  <si>
    <t>2488944608</t>
  </si>
  <si>
    <t>https://old-admin.primestyle.com/cron/custom-product/100061258_17485347790.jpg</t>
  </si>
  <si>
    <t>Choose Ring Size : 8.5</t>
  </si>
  <si>
    <t>$2,085.99</t>
  </si>
  <si>
    <t>14KT Rose Gold / 1.77CT Total (1.50CT Center) / F-G/VS1-VS2 (Excellent) SKU: 71897LB-10 https://primestyle.com/products/engagement-rings-71897lb?variant=43704672125112</t>
  </si>
  <si>
    <t>90728</t>
  </si>
  <si>
    <t>Shopify Order 120148 , Added by: Jenny , On: 05-28-2025 09:41:36</t>
  </si>
  <si>
    <t>May 28, 2025 9:31:10 AM</t>
  </si>
  <si>
    <t>87594</t>
  </si>
  <si>
    <t>Amanda</t>
  </si>
  <si>
    <t>Propp</t>
  </si>
  <si>
    <t>737 Schuyler Street</t>
  </si>
  <si>
    <t>Syracuse</t>
  </si>
  <si>
    <t>13204</t>
  </si>
  <si>
    <t>3158824450</t>
  </si>
  <si>
    <t>https://old-admin.primestyle.com/cron/custom-product/100061257_17484394780.jpg</t>
  </si>
  <si>
    <t>$510.00</t>
  </si>
  <si>
    <t>18KT Yellow Gold / 0.50CT Center / F-G/VS1-VS2 (Excellent) SKU: 15504RDLB-21 https://primestyle.com/products/0-50-3-00-ct-round-cut-lab-grown-diamonds-solitaire-pendant-15504rdlb?variant=42377014771896</t>
  </si>
  <si>
    <t>90727</t>
  </si>
  <si>
    <t>Shopify Order 120147 , Added by: Jenny , On: 05-27-2025 18:42:47</t>
  </si>
  <si>
    <t>May 27, 2025 6:40:27 PM</t>
  </si>
  <si>
    <t>50740</t>
  </si>
  <si>
    <t>Candice</t>
  </si>
  <si>
    <t>Robinson</t>
  </si>
  <si>
    <t>1524 20th ave Unit 936</t>
  </si>
  <si>
    <t>Page</t>
  </si>
  <si>
    <t>Arizona</t>
  </si>
  <si>
    <t>86040</t>
  </si>
  <si>
    <t>928-614-4035</t>
  </si>
  <si>
    <t>https://old-admin.primestyle.com/cron/custom-product/100061256_17483856770.jpg</t>
  </si>
  <si>
    <t>Choose Ring Size : 5.75</t>
  </si>
  <si>
    <t>$10,987.99</t>
  </si>
  <si>
    <t>Platinum / 6.40CT Total (1.50CT Center) / I-J / VS2-SI1 (Most Popular) SKU: 15714-78 https://primestyle.com/products/5-25-6-40-ct-princess-cut-diamonds-bridal-set-15714?variant=36862361239715</t>
  </si>
  <si>
    <t>https://old-admin.primestyle.com/cron/custom-product/100061256_17483857190.jpg</t>
  </si>
  <si>
    <t>$2,885.99</t>
  </si>
  <si>
    <t>Platinum / 2.60CT Total / I-J / VS2-SI1 (Most Popular) SKU: 15713-14 https://primestyle.com/products/2-60-ct-princess-cut-diamonds-wedding-band-15713?variant=36877473644707</t>
  </si>
  <si>
    <t>90726</t>
  </si>
  <si>
    <t>Shopify Order 120146 , Added by: Jenny , On: 05-30-2025 15:54:45</t>
  </si>
  <si>
    <t>May 27, 2025 9:38:34 AM</t>
  </si>
  <si>
    <t>87593</t>
  </si>
  <si>
    <t>James</t>
  </si>
  <si>
    <t>Butler</t>
  </si>
  <si>
    <t>10392 Candelabra Cactus Street</t>
  </si>
  <si>
    <t>Las Vegas</t>
  </si>
  <si>
    <t>Nevada</t>
  </si>
  <si>
    <t>89141</t>
  </si>
  <si>
    <t>+17023570973</t>
  </si>
  <si>
    <t>https://old-admin.primestyle.com/cron/custom-product/100061255_17483539230.jpg</t>
  </si>
  <si>
    <t>Total Carat Weight : 3.33 CT | Center Carat Weight &amp; Quality : 1.53 CT e/vvs2 | Sides Carat Weight &amp; Quality 1 : 1.80 CT -stones F-G/VS1-VS2 LAB GROWN | Choose Metal Type : Platinum | Choose Ring Size : 4.75</t>
  </si>
  <si>
    <t>$3,057.99</t>
  </si>
  <si>
    <t>SKU 71846LB-40 with a 1.53ct Princess cut Lab Grown diamond in E color and VVS2 clarity, set in platinum in size 4.75</t>
  </si>
  <si>
    <t>Order Number</t>
  </si>
  <si>
    <t>Date Added</t>
  </si>
  <si>
    <t>Order Status</t>
  </si>
  <si>
    <t>Employee</t>
  </si>
  <si>
    <t>Comment</t>
  </si>
  <si>
    <t>03/06/2025 16:59</t>
  </si>
  <si>
    <t>Order Placed From Admin pannel</t>
  </si>
  <si>
    <t>Jeny123</t>
  </si>
  <si>
    <t>03/06/2025 23:21</t>
  </si>
  <si>
    <t>3D Wax Ordered</t>
  </si>
  <si>
    <t>Jenny Jenny</t>
  </si>
  <si>
    <t>09/06/2025 14:01</t>
  </si>
  <si>
    <t>Printed</t>
  </si>
  <si>
    <t>ali</t>
  </si>
  <si>
    <t>09/06/2025 19:56</t>
  </si>
  <si>
    <t>Casting Ordered INT</t>
  </si>
  <si>
    <t>17/06/2025 23:12</t>
  </si>
  <si>
    <t>BC_Item_Completed</t>
  </si>
  <si>
    <t>03/06/2025 15:55</t>
  </si>
  <si>
    <t>03/06/2025 20:04</t>
  </si>
  <si>
    <t>10/06/2025 23:39</t>
  </si>
  <si>
    <t>03/06/2025 15:44</t>
  </si>
  <si>
    <t>06/06/2025 20:00</t>
  </si>
  <si>
    <t>06/06/2025 16:10</t>
  </si>
  <si>
    <t>17/06/2025 17:25</t>
  </si>
  <si>
    <t>Return Request Received</t>
  </si>
  <si>
    <t>23/06/2025 15:46</t>
  </si>
  <si>
    <t>Return for refund instructions - Domestic</t>
  </si>
  <si>
    <t>02/07/2025 19:38</t>
  </si>
  <si>
    <t>Returned for Refund Received WS</t>
  </si>
  <si>
    <t>received all material-return for refund.</t>
  </si>
  <si>
    <t>02/06/2025 14:52</t>
  </si>
  <si>
    <t>18/06/2025 22:54</t>
  </si>
  <si>
    <t>25/06/2025 16:08</t>
  </si>
  <si>
    <t>Return for replacement instructions - Domestic</t>
  </si>
  <si>
    <t>paid $1122.99 in order 120190 to upgrade to 3.00ct total</t>
  </si>
  <si>
    <t>02/07/2025 19:37</t>
  </si>
  <si>
    <t>Returned for Replacement Received WS</t>
  </si>
  <si>
    <t>received all material except the pendant - return for replacement</t>
  </si>
  <si>
    <t>29/05/2025 17:37</t>
  </si>
  <si>
    <t>29/05/2025 18:55</t>
  </si>
  <si>
    <t>02/06/2025 20:06</t>
  </si>
  <si>
    <t>03/06/2025 14:11</t>
  </si>
  <si>
    <t>10/06/2025 23:40</t>
  </si>
  <si>
    <t>17/06/2025 17:13</t>
  </si>
  <si>
    <t>23/06/2025 15:45</t>
  </si>
  <si>
    <t>10/07/2025 19:11</t>
  </si>
  <si>
    <t>received material-for-refund</t>
  </si>
  <si>
    <t>29/05/2025 16:16</t>
  </si>
  <si>
    <t>29/05/2025 16:19</t>
  </si>
  <si>
    <t>03/06/2025 14:10</t>
  </si>
  <si>
    <t>29/05/2025 16:05</t>
  </si>
  <si>
    <t>29/05/2025 19:45</t>
  </si>
  <si>
    <t>28/05/2025 13:31</t>
  </si>
  <si>
    <t>05/06/2025 20:04</t>
  </si>
  <si>
    <t>17/06/2025 23:04</t>
  </si>
  <si>
    <t>27/05/2025 22:40</t>
  </si>
  <si>
    <t>27/05/2025 22:43</t>
  </si>
  <si>
    <t>28/05/2025 20:10</t>
  </si>
  <si>
    <t>30/05/2025 09:05</t>
  </si>
  <si>
    <t>27/05/2025 13:38</t>
  </si>
  <si>
    <t>27/05/2025 14:07</t>
  </si>
  <si>
    <t>30/05/2025 15:15</t>
  </si>
  <si>
    <t>30/05/2025 19:55</t>
  </si>
  <si>
    <t>13/06/2025 18:53</t>
  </si>
  <si>
    <t>Item Shipped WS</t>
  </si>
  <si>
    <t>Type</t>
  </si>
  <si>
    <t>Product</t>
  </si>
  <si>
    <t>Parcel ID</t>
  </si>
  <si>
    <t>CT Weight</t>
  </si>
  <si>
    <t>Stones</t>
  </si>
  <si>
    <t>Price Per CT</t>
  </si>
  <si>
    <t>Total Price</t>
  </si>
  <si>
    <t>MM</t>
  </si>
  <si>
    <t>15-06-25</t>
  </si>
  <si>
    <t>S</t>
  </si>
  <si>
    <t>CP_1748992782</t>
  </si>
  <si>
    <t>9163</t>
  </si>
  <si>
    <t>-0.04</t>
  </si>
  <si>
    <t>4</t>
  </si>
  <si>
    <t>300.00</t>
  </si>
  <si>
    <t>12.00</t>
  </si>
  <si>
    <t>9164</t>
  </si>
  <si>
    <t>-0.05</t>
  </si>
  <si>
    <t>15.00</t>
  </si>
  <si>
    <t>-0.06</t>
  </si>
  <si>
    <t>8</t>
  </si>
  <si>
    <t>18.00</t>
  </si>
  <si>
    <t>9162</t>
  </si>
  <si>
    <t>324</t>
  </si>
  <si>
    <t>-1.84</t>
  </si>
  <si>
    <t>21</t>
  </si>
  <si>
    <t>552.00</t>
  </si>
  <si>
    <t>-0.02</t>
  </si>
  <si>
    <t>2</t>
  </si>
  <si>
    <t>6.00</t>
  </si>
  <si>
    <t>9021</t>
  </si>
  <si>
    <t>-0.6</t>
  </si>
  <si>
    <t>525.00</t>
  </si>
  <si>
    <t>315.00</t>
  </si>
  <si>
    <t>C</t>
  </si>
  <si>
    <t>9032</t>
  </si>
  <si>
    <t>-0.36</t>
  </si>
  <si>
    <t>189.00</t>
  </si>
  <si>
    <t>5.3-3.4</t>
  </si>
  <si>
    <t>08-06-25</t>
  </si>
  <si>
    <t>CP_1748966294</t>
  </si>
  <si>
    <t>4324</t>
  </si>
  <si>
    <t>-0.64</t>
  </si>
  <si>
    <t>3</t>
  </si>
  <si>
    <t>425.00</t>
  </si>
  <si>
    <t>272.00</t>
  </si>
  <si>
    <t>9166</t>
  </si>
  <si>
    <t>-0.27</t>
  </si>
  <si>
    <t>6</t>
  </si>
  <si>
    <t>81.00</t>
  </si>
  <si>
    <t>06-06-25</t>
  </si>
  <si>
    <t>-7.4</t>
  </si>
  <si>
    <t>49</t>
  </si>
  <si>
    <t>140.00</t>
  </si>
  <si>
    <t>1036.00</t>
  </si>
  <si>
    <t>-2.08</t>
  </si>
  <si>
    <t>100.00</t>
  </si>
  <si>
    <t>208.00</t>
  </si>
  <si>
    <t>09-07-25</t>
  </si>
  <si>
    <t>-2.92</t>
  </si>
  <si>
    <t>105.00</t>
  </si>
  <si>
    <t>306.60</t>
  </si>
  <si>
    <t>CP_1748544408</t>
  </si>
  <si>
    <t>523</t>
  </si>
  <si>
    <t>-1.13</t>
  </si>
  <si>
    <t>7</t>
  </si>
  <si>
    <t>320.00</t>
  </si>
  <si>
    <t>361.60</t>
  </si>
  <si>
    <t>CP_1748535461</t>
  </si>
  <si>
    <t>-0.19</t>
  </si>
  <si>
    <t>26</t>
  </si>
  <si>
    <t>57.00</t>
  </si>
  <si>
    <t>-1.53</t>
  </si>
  <si>
    <t>124.44</t>
  </si>
  <si>
    <t>190.39</t>
  </si>
  <si>
    <t>-0.14</t>
  </si>
  <si>
    <t>18</t>
  </si>
  <si>
    <t>160.00</t>
  </si>
  <si>
    <t>22.40</t>
  </si>
  <si>
    <t>-0.1</t>
  </si>
  <si>
    <t>95.00</t>
  </si>
  <si>
    <t>9.50</t>
  </si>
  <si>
    <t>04-06-25</t>
  </si>
  <si>
    <t>-0.52</t>
  </si>
  <si>
    <t>54.60</t>
  </si>
  <si>
    <t>05-06-25</t>
  </si>
  <si>
    <t>CP_1748385677</t>
  </si>
  <si>
    <t>336</t>
  </si>
  <si>
    <t>-1</t>
  </si>
  <si>
    <t>355.00</t>
  </si>
  <si>
    <t>-2.05</t>
  </si>
  <si>
    <t>10</t>
  </si>
  <si>
    <t>727.75</t>
  </si>
  <si>
    <t>4349</t>
  </si>
  <si>
    <t>-2.02</t>
  </si>
  <si>
    <t>400.00</t>
  </si>
  <si>
    <t>808.00</t>
  </si>
  <si>
    <t>CP_1748385719</t>
  </si>
  <si>
    <t>4352</t>
  </si>
  <si>
    <t>-0.55</t>
  </si>
  <si>
    <t>450.00</t>
  </si>
  <si>
    <t>247.50</t>
  </si>
  <si>
    <t>9092</t>
  </si>
  <si>
    <t>-1.51</t>
  </si>
  <si>
    <t>2200.00</t>
  </si>
  <si>
    <t>3322.00</t>
  </si>
  <si>
    <t>6.1X6.1</t>
  </si>
  <si>
    <t>29-05-25</t>
  </si>
  <si>
    <t>-1.38</t>
  </si>
  <si>
    <t>165.00</t>
  </si>
  <si>
    <t>227.70</t>
  </si>
  <si>
    <t>125.00</t>
  </si>
  <si>
    <t>191.25</t>
  </si>
  <si>
    <t>Supplier</t>
  </si>
  <si>
    <t>Invoice Number</t>
  </si>
  <si>
    <t>Metal Type</t>
  </si>
  <si>
    <t>Qty</t>
  </si>
  <si>
    <t>Weight</t>
  </si>
  <si>
    <t>Price</t>
  </si>
  <si>
    <t>Golden</t>
  </si>
  <si>
    <t>13/06/2025</t>
  </si>
  <si>
    <t>14KT</t>
  </si>
  <si>
    <t>6.59 g.</t>
  </si>
  <si>
    <t>$754.95</t>
  </si>
  <si>
    <t>09/06/2025</t>
  </si>
  <si>
    <t>18KT</t>
  </si>
  <si>
    <t>4.07 g.</t>
  </si>
  <si>
    <t>$610.92</t>
  </si>
  <si>
    <t>11/06/2025</t>
  </si>
  <si>
    <t>7.63 g.</t>
  </si>
  <si>
    <t>$868.75</t>
  </si>
  <si>
    <t>06/06/2025</t>
  </si>
  <si>
    <t>6.49 g.</t>
  </si>
  <si>
    <t>$747.97</t>
  </si>
  <si>
    <t>08/06/2025</t>
  </si>
  <si>
    <t>4.73 g.</t>
  </si>
  <si>
    <t>$549.58</t>
  </si>
  <si>
    <t>4.35 g.</t>
  </si>
  <si>
    <t>$502.08</t>
  </si>
  <si>
    <t>0.61 g.</t>
  </si>
  <si>
    <t>$89.83</t>
  </si>
  <si>
    <t>04/06/2025</t>
  </si>
  <si>
    <t>Platinum</t>
  </si>
  <si>
    <t>25.07 g.</t>
  </si>
  <si>
    <t>$1823.59</t>
  </si>
  <si>
    <t>9.09 g.</t>
  </si>
  <si>
    <t>$653.30</t>
  </si>
  <si>
    <t>Date</t>
  </si>
  <si>
    <t>Attachment 1</t>
  </si>
  <si>
    <t>2025-06-03 19:20:46</t>
  </si>
  <si>
    <t>2025-06-04 14:30:50</t>
  </si>
  <si>
    <t>2025-05-29 14:56:05</t>
  </si>
  <si>
    <t>2025-05-29 12:18:57</t>
  </si>
  <si>
    <t>2025-05-27 18:43:09</t>
  </si>
  <si>
    <t>2025-05-27 10:05:46</t>
  </si>
  <si>
    <t>Employee Names</t>
  </si>
  <si>
    <t>File Attachment 1</t>
  </si>
  <si>
    <t>File Attachment 2</t>
  </si>
  <si>
    <t>17-06-25 12:34 PM</t>
  </si>
  <si>
    <t>appraisal</t>
  </si>
  <si>
    <t>invoice</t>
  </si>
  <si>
    <t>17-06-25 12:33 PM</t>
  </si>
  <si>
    <t>shipping label 9481711206240492244648</t>
  </si>
  <si>
    <t>10-06-25 16:11 PM</t>
  </si>
  <si>
    <t>correct appraisal</t>
  </si>
  <si>
    <t>10-06-25 13:56 PM</t>
  </si>
  <si>
    <t>10-06-25 13:53 PM</t>
  </si>
  <si>
    <t>shipping label 289626883807</t>
  </si>
  <si>
    <t>03-06-25 12:08 PM</t>
  </si>
  <si>
    <t>spec file - use tthe wedding band part only</t>
  </si>
  <si>
    <t>17-06-25 13:25 PM</t>
  </si>
  <si>
    <t>Order number: 120153 Email: jessioria596@gmail.com Return Type: Refund Full Name: Jessica Oria Day Number: 05/31 Night Number: 06/14 Reason for the Return: Arrive too late</t>
  </si>
  <si>
    <t>11-06-25 18:05 PM</t>
  </si>
  <si>
    <t>11-06-25 18:04 PM</t>
  </si>
  <si>
    <t>shipping label 9481711206240426355617</t>
  </si>
  <si>
    <t>09-07-25 11:08 AM</t>
  </si>
  <si>
    <t>NEW invoice</t>
  </si>
  <si>
    <t>09-07-25 11:07 AM</t>
  </si>
  <si>
    <t>NEW APPRAISAL</t>
  </si>
  <si>
    <t>NEW SHIPPING LABEL 390834172719</t>
  </si>
  <si>
    <t>18-06-25 13:05 PM</t>
  </si>
  <si>
    <t>18-06-25 13:01 PM</t>
  </si>
  <si>
    <t>shipping label 390130767067</t>
  </si>
  <si>
    <t>17-06-25 12:59 PM</t>
  </si>
  <si>
    <t>Order number: 120151 Email: audreysd15@gmail.com Return Type: Refund Full Name: Audrey Daniel Day Number: 8067908416 Night Number: 8067908416 Reason for the Return: wedding was cancelled</t>
  </si>
  <si>
    <t>10-06-25 16:14 PM</t>
  </si>
  <si>
    <t>10-06-25 14:09 PM</t>
  </si>
  <si>
    <t>10-06-25 14:05 PM</t>
  </si>
  <si>
    <t>10-06-25 14:03 PM</t>
  </si>
  <si>
    <t>shipping label 289627750901</t>
  </si>
  <si>
    <t>10-06-25 16:18 PM</t>
  </si>
  <si>
    <t>correct app</t>
  </si>
  <si>
    <t>10-06-25 16:17 PM</t>
  </si>
  <si>
    <t>appraoisal</t>
  </si>
  <si>
    <t>10-06-25 14:15 PM</t>
  </si>
  <si>
    <t>10-06-25 14:14 PM</t>
  </si>
  <si>
    <t>shipping label 289628501937</t>
  </si>
  <si>
    <t>10-06-25 16:19 PM</t>
  </si>
  <si>
    <t>10-06-25 14:26 PM</t>
  </si>
  <si>
    <t>10-06-25 14:23 PM</t>
  </si>
  <si>
    <t>10-06-25 14:22 PM</t>
  </si>
  <si>
    <t>shipping label 289629047508</t>
  </si>
  <si>
    <t>10-06-25 15:54 PM</t>
  </si>
  <si>
    <t>10-06-25 15:53 PM</t>
  </si>
  <si>
    <t>shipping label 289634571550</t>
  </si>
  <si>
    <t>10-06-25 14:40 PM</t>
  </si>
  <si>
    <t>10-06-25 14:39 PM</t>
  </si>
  <si>
    <t>10-06-25 14:38 PM</t>
  </si>
  <si>
    <t>shipping label 9481711206240420348226</t>
  </si>
  <si>
    <t>10-06-25 14:48 PM</t>
  </si>
  <si>
    <t>10-06-25 14:47 PM</t>
  </si>
  <si>
    <t>10-06-25 14:46 PM</t>
  </si>
  <si>
    <t>shipping label 289630519126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</si>
</sst>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workbookViewId="0">
      <selection activeCell="AE11" sqref="AE11"/>
    </sheetView>
  </sheetViews>
  <sheetFormatPr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Z2" t="s">
        <v>53</v>
      </c>
      <c r="AA2" t="s">
        <v>54</v>
      </c>
      <c r="AB2" t="s">
        <v>55</v>
      </c>
      <c r="AC2" t="s">
        <v>54</v>
      </c>
      <c r="AD2" t="s">
        <v>56</v>
      </c>
    </row>
    <row r="3" spans="1:38" x14ac:dyDescent="0.25">
      <c r="A3" t="s">
        <v>57</v>
      </c>
      <c r="B3" t="s">
        <v>58</v>
      </c>
      <c r="C3" t="s">
        <v>59</v>
      </c>
      <c r="D3" t="s">
        <v>60</v>
      </c>
      <c r="E3" t="s">
        <v>42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49</v>
      </c>
      <c r="M3" t="s">
        <v>67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49</v>
      </c>
      <c r="V3" t="s">
        <v>67</v>
      </c>
      <c r="W3" t="s">
        <v>68</v>
      </c>
      <c r="X3" t="s">
        <v>52</v>
      </c>
      <c r="Z3" t="s">
        <v>69</v>
      </c>
      <c r="AA3" t="s">
        <v>70</v>
      </c>
      <c r="AB3" t="s">
        <v>55</v>
      </c>
      <c r="AC3" t="s">
        <v>70</v>
      </c>
      <c r="AD3" t="s">
        <v>71</v>
      </c>
    </row>
    <row r="4" spans="1:38" x14ac:dyDescent="0.25">
      <c r="A4" t="s">
        <v>72</v>
      </c>
      <c r="B4" t="s">
        <v>73</v>
      </c>
      <c r="C4" t="s">
        <v>74</v>
      </c>
      <c r="D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79</v>
      </c>
      <c r="K4" t="s">
        <v>80</v>
      </c>
      <c r="L4" t="s">
        <v>49</v>
      </c>
      <c r="M4" t="s">
        <v>81</v>
      </c>
      <c r="O4" t="s">
        <v>76</v>
      </c>
      <c r="P4" t="s">
        <v>77</v>
      </c>
      <c r="Q4" t="s">
        <v>78</v>
      </c>
      <c r="R4" t="s">
        <v>79</v>
      </c>
      <c r="S4" t="s">
        <v>79</v>
      </c>
      <c r="T4" t="s">
        <v>80</v>
      </c>
      <c r="U4" t="s">
        <v>49</v>
      </c>
      <c r="V4" t="s">
        <v>81</v>
      </c>
      <c r="W4" t="s">
        <v>82</v>
      </c>
      <c r="X4" t="s">
        <v>52</v>
      </c>
      <c r="Z4" t="s">
        <v>83</v>
      </c>
      <c r="AA4" t="s">
        <v>84</v>
      </c>
      <c r="AB4" t="s">
        <v>55</v>
      </c>
      <c r="AC4" t="s">
        <v>84</v>
      </c>
      <c r="AD4" t="s">
        <v>85</v>
      </c>
    </row>
    <row r="5" spans="1:38" x14ac:dyDescent="0.25">
      <c r="A5" t="s">
        <v>86</v>
      </c>
      <c r="B5" t="s">
        <v>87</v>
      </c>
      <c r="C5" t="s">
        <v>88</v>
      </c>
      <c r="D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49</v>
      </c>
      <c r="M5" t="s">
        <v>96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49</v>
      </c>
      <c r="V5" t="s">
        <v>96</v>
      </c>
      <c r="W5" t="s">
        <v>97</v>
      </c>
      <c r="X5" t="s">
        <v>52</v>
      </c>
      <c r="AA5" t="s">
        <v>98</v>
      </c>
      <c r="AB5" t="s">
        <v>55</v>
      </c>
      <c r="AC5" t="s">
        <v>98</v>
      </c>
      <c r="AD5" t="s">
        <v>99</v>
      </c>
    </row>
    <row r="6" spans="1:38" x14ac:dyDescent="0.25">
      <c r="A6" t="s">
        <v>100</v>
      </c>
      <c r="B6" t="s">
        <v>101</v>
      </c>
      <c r="C6" t="s">
        <v>102</v>
      </c>
      <c r="D6" t="s">
        <v>103</v>
      </c>
      <c r="F6" t="s">
        <v>104</v>
      </c>
      <c r="G6" t="s">
        <v>105</v>
      </c>
      <c r="H6" t="s">
        <v>106</v>
      </c>
      <c r="I6" t="s">
        <v>107</v>
      </c>
      <c r="J6" t="s">
        <v>108</v>
      </c>
      <c r="K6" t="s">
        <v>109</v>
      </c>
      <c r="L6" t="s">
        <v>49</v>
      </c>
      <c r="M6" t="s">
        <v>110</v>
      </c>
      <c r="O6" t="s">
        <v>104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 t="s">
        <v>49</v>
      </c>
      <c r="V6" t="s">
        <v>110</v>
      </c>
      <c r="W6" t="s">
        <v>111</v>
      </c>
      <c r="X6" t="s">
        <v>52</v>
      </c>
      <c r="Z6" t="s">
        <v>112</v>
      </c>
      <c r="AA6" t="s">
        <v>113</v>
      </c>
      <c r="AB6" t="s">
        <v>55</v>
      </c>
      <c r="AC6" t="s">
        <v>113</v>
      </c>
      <c r="AD6" t="s">
        <v>114</v>
      </c>
    </row>
    <row r="7" spans="1:38" x14ac:dyDescent="0.25">
      <c r="A7" t="s">
        <v>115</v>
      </c>
      <c r="B7" t="s">
        <v>116</v>
      </c>
      <c r="C7" t="s">
        <v>117</v>
      </c>
      <c r="D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49</v>
      </c>
      <c r="M7" t="s">
        <v>125</v>
      </c>
      <c r="O7" t="s">
        <v>119</v>
      </c>
      <c r="P7" t="s">
        <v>120</v>
      </c>
      <c r="Q7" t="s">
        <v>121</v>
      </c>
      <c r="R7" t="s">
        <v>122</v>
      </c>
      <c r="S7" t="s">
        <v>123</v>
      </c>
      <c r="T7" t="s">
        <v>124</v>
      </c>
      <c r="U7" t="s">
        <v>49</v>
      </c>
      <c r="V7" t="s">
        <v>125</v>
      </c>
      <c r="W7" t="s">
        <v>126</v>
      </c>
      <c r="X7" t="s">
        <v>52</v>
      </c>
      <c r="Z7" t="s">
        <v>127</v>
      </c>
      <c r="AA7" t="s">
        <v>128</v>
      </c>
      <c r="AB7" t="s">
        <v>55</v>
      </c>
      <c r="AC7" t="s">
        <v>128</v>
      </c>
      <c r="AD7" t="s">
        <v>129</v>
      </c>
    </row>
    <row r="8" spans="1:38" x14ac:dyDescent="0.25">
      <c r="A8" t="s">
        <v>130</v>
      </c>
      <c r="B8" t="s">
        <v>131</v>
      </c>
      <c r="C8" t="s">
        <v>132</v>
      </c>
      <c r="D8" t="s">
        <v>133</v>
      </c>
      <c r="F8" t="s">
        <v>134</v>
      </c>
      <c r="G8" t="s">
        <v>135</v>
      </c>
      <c r="H8" t="s">
        <v>136</v>
      </c>
      <c r="I8" t="s">
        <v>137</v>
      </c>
      <c r="J8" t="s">
        <v>123</v>
      </c>
      <c r="K8" t="s">
        <v>138</v>
      </c>
      <c r="L8" t="s">
        <v>49</v>
      </c>
      <c r="M8" t="s">
        <v>139</v>
      </c>
      <c r="O8" t="s">
        <v>134</v>
      </c>
      <c r="P8" t="s">
        <v>135</v>
      </c>
      <c r="Q8" t="s">
        <v>136</v>
      </c>
      <c r="R8" t="s">
        <v>137</v>
      </c>
      <c r="S8" t="s">
        <v>123</v>
      </c>
      <c r="T8" t="s">
        <v>138</v>
      </c>
      <c r="U8" t="s">
        <v>49</v>
      </c>
      <c r="V8" t="s">
        <v>139</v>
      </c>
      <c r="W8" t="s">
        <v>140</v>
      </c>
      <c r="X8" t="s">
        <v>52</v>
      </c>
      <c r="Z8" t="s">
        <v>141</v>
      </c>
      <c r="AA8" t="s">
        <v>142</v>
      </c>
      <c r="AB8" t="s">
        <v>55</v>
      </c>
      <c r="AC8" t="s">
        <v>142</v>
      </c>
      <c r="AD8" t="s">
        <v>143</v>
      </c>
    </row>
    <row r="9" spans="1:38" x14ac:dyDescent="0.25">
      <c r="A9" t="s">
        <v>144</v>
      </c>
      <c r="B9" t="s">
        <v>145</v>
      </c>
      <c r="C9" t="s">
        <v>146</v>
      </c>
      <c r="D9" t="s">
        <v>147</v>
      </c>
      <c r="F9" t="s">
        <v>148</v>
      </c>
      <c r="G9" t="s">
        <v>149</v>
      </c>
      <c r="H9" t="s">
        <v>150</v>
      </c>
      <c r="I9" t="s">
        <v>151</v>
      </c>
      <c r="J9" t="s">
        <v>79</v>
      </c>
      <c r="K9" t="s">
        <v>152</v>
      </c>
      <c r="L9" t="s">
        <v>49</v>
      </c>
      <c r="M9" t="s">
        <v>153</v>
      </c>
      <c r="O9" t="s">
        <v>148</v>
      </c>
      <c r="P9" t="s">
        <v>149</v>
      </c>
      <c r="Q9" t="s">
        <v>150</v>
      </c>
      <c r="R9" t="s">
        <v>151</v>
      </c>
      <c r="S9" t="s">
        <v>79</v>
      </c>
      <c r="T9" t="s">
        <v>152</v>
      </c>
      <c r="U9" t="s">
        <v>49</v>
      </c>
      <c r="V9" t="s">
        <v>153</v>
      </c>
      <c r="W9" t="s">
        <v>154</v>
      </c>
      <c r="X9" t="s">
        <v>52</v>
      </c>
      <c r="AA9" t="s">
        <v>155</v>
      </c>
      <c r="AB9" t="s">
        <v>55</v>
      </c>
      <c r="AC9" t="s">
        <v>155</v>
      </c>
      <c r="AD9" t="s">
        <v>156</v>
      </c>
    </row>
    <row r="10" spans="1:38" x14ac:dyDescent="0.25">
      <c r="A10" t="s">
        <v>157</v>
      </c>
      <c r="B10" t="s">
        <v>158</v>
      </c>
      <c r="C10" t="s">
        <v>159</v>
      </c>
      <c r="D10" t="s">
        <v>160</v>
      </c>
      <c r="E10" t="s">
        <v>42</v>
      </c>
      <c r="F10" t="s">
        <v>161</v>
      </c>
      <c r="G10" t="s">
        <v>162</v>
      </c>
      <c r="H10" t="s">
        <v>163</v>
      </c>
      <c r="I10" t="s">
        <v>164</v>
      </c>
      <c r="J10" t="s">
        <v>165</v>
      </c>
      <c r="K10" t="s">
        <v>166</v>
      </c>
      <c r="L10" t="s">
        <v>49</v>
      </c>
      <c r="M10" t="s">
        <v>167</v>
      </c>
      <c r="O10" t="s">
        <v>161</v>
      </c>
      <c r="P10" t="s">
        <v>162</v>
      </c>
      <c r="Q10" t="s">
        <v>163</v>
      </c>
      <c r="R10" t="s">
        <v>164</v>
      </c>
      <c r="S10" t="s">
        <v>165</v>
      </c>
      <c r="T10" t="s">
        <v>166</v>
      </c>
      <c r="U10" t="s">
        <v>49</v>
      </c>
      <c r="V10" t="s">
        <v>167</v>
      </c>
      <c r="W10" t="s">
        <v>168</v>
      </c>
      <c r="X10" t="s">
        <v>52</v>
      </c>
      <c r="Z10" t="s">
        <v>169</v>
      </c>
      <c r="AA10" t="s">
        <v>170</v>
      </c>
      <c r="AB10" t="s">
        <v>55</v>
      </c>
      <c r="AC10" t="s">
        <v>170</v>
      </c>
      <c r="AD10" t="s">
        <v>171</v>
      </c>
      <c r="AE10" t="s">
        <v>172</v>
      </c>
      <c r="AF10" t="s">
        <v>52</v>
      </c>
      <c r="AH10" t="s">
        <v>169</v>
      </c>
      <c r="AI10" t="s">
        <v>173</v>
      </c>
      <c r="AJ10" t="s">
        <v>55</v>
      </c>
      <c r="AK10" t="s">
        <v>173</v>
      </c>
      <c r="AL10" t="s">
        <v>174</v>
      </c>
    </row>
    <row r="11" spans="1:38" x14ac:dyDescent="0.25">
      <c r="A11" t="s">
        <v>175</v>
      </c>
      <c r="B11" t="s">
        <v>176</v>
      </c>
      <c r="C11" t="s">
        <v>177</v>
      </c>
      <c r="D11" t="s">
        <v>178</v>
      </c>
      <c r="F11" t="s">
        <v>179</v>
      </c>
      <c r="G11" t="s">
        <v>180</v>
      </c>
      <c r="H11" t="s">
        <v>181</v>
      </c>
      <c r="I11" t="s">
        <v>182</v>
      </c>
      <c r="J11" t="s">
        <v>183</v>
      </c>
      <c r="K11" t="s">
        <v>184</v>
      </c>
      <c r="L11" t="s">
        <v>49</v>
      </c>
      <c r="M11" t="s">
        <v>185</v>
      </c>
      <c r="O11" t="s">
        <v>179</v>
      </c>
      <c r="P11" t="s">
        <v>180</v>
      </c>
      <c r="Q11" t="s">
        <v>181</v>
      </c>
      <c r="R11" t="s">
        <v>182</v>
      </c>
      <c r="S11" t="s">
        <v>183</v>
      </c>
      <c r="T11" t="s">
        <v>184</v>
      </c>
      <c r="U11" t="s">
        <v>49</v>
      </c>
      <c r="V11" t="s">
        <v>185</v>
      </c>
      <c r="W11" t="s">
        <v>186</v>
      </c>
      <c r="X11" t="s">
        <v>52</v>
      </c>
      <c r="Z11" t="s">
        <v>187</v>
      </c>
      <c r="AA11" t="s">
        <v>188</v>
      </c>
      <c r="AB11" t="s">
        <v>55</v>
      </c>
      <c r="AC11" t="s">
        <v>188</v>
      </c>
      <c r="AD11" t="s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opLeftCell="A16" workbookViewId="0">
      <selection activeCell="A42" sqref="A42:A46"/>
    </sheetView>
  </sheetViews>
  <sheetFormatPr defaultRowHeight="15" x14ac:dyDescent="0.25"/>
  <sheetData>
    <row r="1" spans="1:5" x14ac:dyDescent="0.25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</row>
    <row r="2" spans="1:5" x14ac:dyDescent="0.25">
      <c r="A2" t="s">
        <v>38</v>
      </c>
      <c r="B2" t="s">
        <v>195</v>
      </c>
      <c r="C2" t="s">
        <v>196</v>
      </c>
      <c r="D2" t="s">
        <v>197</v>
      </c>
    </row>
    <row r="3" spans="1:5" x14ac:dyDescent="0.25">
      <c r="A3" t="s">
        <v>38</v>
      </c>
      <c r="B3" t="s">
        <v>198</v>
      </c>
      <c r="C3" t="s">
        <v>199</v>
      </c>
      <c r="D3" t="s">
        <v>200</v>
      </c>
    </row>
    <row r="4" spans="1:5" x14ac:dyDescent="0.25">
      <c r="A4" t="s">
        <v>38</v>
      </c>
      <c r="B4" t="s">
        <v>201</v>
      </c>
      <c r="C4" t="s">
        <v>202</v>
      </c>
      <c r="D4" t="s">
        <v>203</v>
      </c>
    </row>
    <row r="5" spans="1:5" x14ac:dyDescent="0.25">
      <c r="A5" t="s">
        <v>38</v>
      </c>
      <c r="B5" t="s">
        <v>204</v>
      </c>
      <c r="C5" t="s">
        <v>205</v>
      </c>
      <c r="D5" t="s">
        <v>200</v>
      </c>
    </row>
    <row r="6" spans="1:5" x14ac:dyDescent="0.25">
      <c r="A6" t="s">
        <v>38</v>
      </c>
      <c r="B6" t="s">
        <v>206</v>
      </c>
      <c r="C6" t="s">
        <v>207</v>
      </c>
      <c r="D6" t="s">
        <v>200</v>
      </c>
    </row>
    <row r="7" spans="1:5" x14ac:dyDescent="0.25">
      <c r="A7" t="s">
        <v>57</v>
      </c>
      <c r="B7" t="s">
        <v>208</v>
      </c>
      <c r="C7" t="s">
        <v>196</v>
      </c>
      <c r="D7" t="s">
        <v>197</v>
      </c>
    </row>
    <row r="8" spans="1:5" x14ac:dyDescent="0.25">
      <c r="A8" t="s">
        <v>57</v>
      </c>
      <c r="B8" t="s">
        <v>209</v>
      </c>
      <c r="C8" t="s">
        <v>205</v>
      </c>
      <c r="D8" t="s">
        <v>200</v>
      </c>
    </row>
    <row r="9" spans="1:5" x14ac:dyDescent="0.25">
      <c r="A9" t="s">
        <v>57</v>
      </c>
      <c r="B9" t="s">
        <v>210</v>
      </c>
      <c r="C9" t="s">
        <v>207</v>
      </c>
      <c r="D9" t="s">
        <v>200</v>
      </c>
    </row>
    <row r="10" spans="1:5" x14ac:dyDescent="0.25">
      <c r="A10" t="s">
        <v>72</v>
      </c>
      <c r="B10" t="s">
        <v>211</v>
      </c>
      <c r="C10" t="s">
        <v>196</v>
      </c>
      <c r="D10" t="s">
        <v>197</v>
      </c>
    </row>
    <row r="11" spans="1:5" x14ac:dyDescent="0.25">
      <c r="A11" t="s">
        <v>72</v>
      </c>
      <c r="B11" t="s">
        <v>212</v>
      </c>
      <c r="C11" t="s">
        <v>205</v>
      </c>
      <c r="D11" t="s">
        <v>200</v>
      </c>
    </row>
    <row r="12" spans="1:5" x14ac:dyDescent="0.25">
      <c r="A12" t="s">
        <v>72</v>
      </c>
      <c r="B12" t="s">
        <v>213</v>
      </c>
      <c r="C12" t="s">
        <v>202</v>
      </c>
      <c r="D12" t="s">
        <v>203</v>
      </c>
    </row>
    <row r="13" spans="1:5" x14ac:dyDescent="0.25">
      <c r="A13" t="s">
        <v>72</v>
      </c>
      <c r="B13" t="s">
        <v>214</v>
      </c>
      <c r="C13" t="s">
        <v>215</v>
      </c>
      <c r="D13" t="s">
        <v>200</v>
      </c>
    </row>
    <row r="14" spans="1:5" x14ac:dyDescent="0.25">
      <c r="A14" t="s">
        <v>72</v>
      </c>
      <c r="B14" t="s">
        <v>216</v>
      </c>
      <c r="C14" t="s">
        <v>217</v>
      </c>
      <c r="D14" t="s">
        <v>200</v>
      </c>
    </row>
    <row r="15" spans="1:5" x14ac:dyDescent="0.25">
      <c r="A15" t="s">
        <v>72</v>
      </c>
      <c r="B15" t="s">
        <v>218</v>
      </c>
      <c r="C15" t="s">
        <v>219</v>
      </c>
      <c r="D15" t="s">
        <v>200</v>
      </c>
      <c r="E15" t="s">
        <v>220</v>
      </c>
    </row>
    <row r="16" spans="1:5" x14ac:dyDescent="0.25">
      <c r="A16" t="s">
        <v>86</v>
      </c>
      <c r="B16" t="s">
        <v>221</v>
      </c>
      <c r="C16" t="s">
        <v>196</v>
      </c>
      <c r="D16" t="s">
        <v>197</v>
      </c>
    </row>
    <row r="17" spans="1:5" x14ac:dyDescent="0.25">
      <c r="A17" t="s">
        <v>86</v>
      </c>
      <c r="B17" t="s">
        <v>222</v>
      </c>
      <c r="C17" t="s">
        <v>207</v>
      </c>
      <c r="D17" t="s">
        <v>200</v>
      </c>
    </row>
    <row r="18" spans="1:5" x14ac:dyDescent="0.25">
      <c r="A18" t="s">
        <v>86</v>
      </c>
      <c r="B18" t="s">
        <v>223</v>
      </c>
      <c r="C18" t="s">
        <v>224</v>
      </c>
      <c r="D18" t="s">
        <v>200</v>
      </c>
      <c r="E18" t="s">
        <v>225</v>
      </c>
    </row>
    <row r="19" spans="1:5" x14ac:dyDescent="0.25">
      <c r="A19" t="s">
        <v>86</v>
      </c>
      <c r="B19" t="s">
        <v>226</v>
      </c>
      <c r="C19" t="s">
        <v>227</v>
      </c>
      <c r="D19" t="s">
        <v>200</v>
      </c>
      <c r="E19" t="s">
        <v>228</v>
      </c>
    </row>
    <row r="20" spans="1:5" x14ac:dyDescent="0.25">
      <c r="A20" t="s">
        <v>100</v>
      </c>
      <c r="B20" t="s">
        <v>229</v>
      </c>
      <c r="C20" t="s">
        <v>196</v>
      </c>
      <c r="D20" t="s">
        <v>197</v>
      </c>
    </row>
    <row r="21" spans="1:5" x14ac:dyDescent="0.25">
      <c r="A21" t="s">
        <v>100</v>
      </c>
      <c r="B21" t="s">
        <v>230</v>
      </c>
      <c r="C21" t="s">
        <v>199</v>
      </c>
      <c r="D21" t="s">
        <v>200</v>
      </c>
    </row>
    <row r="22" spans="1:5" x14ac:dyDescent="0.25">
      <c r="A22" t="s">
        <v>100</v>
      </c>
      <c r="B22" t="s">
        <v>231</v>
      </c>
      <c r="C22" t="s">
        <v>205</v>
      </c>
      <c r="D22" t="s">
        <v>200</v>
      </c>
    </row>
    <row r="23" spans="1:5" x14ac:dyDescent="0.25">
      <c r="A23" t="s">
        <v>100</v>
      </c>
      <c r="B23" t="s">
        <v>232</v>
      </c>
      <c r="C23" t="s">
        <v>202</v>
      </c>
      <c r="D23" t="s">
        <v>203</v>
      </c>
    </row>
    <row r="24" spans="1:5" x14ac:dyDescent="0.25">
      <c r="A24" t="s">
        <v>100</v>
      </c>
      <c r="B24" t="s">
        <v>233</v>
      </c>
      <c r="C24" t="s">
        <v>207</v>
      </c>
      <c r="D24" t="s">
        <v>200</v>
      </c>
    </row>
    <row r="25" spans="1:5" x14ac:dyDescent="0.25">
      <c r="A25" t="s">
        <v>100</v>
      </c>
      <c r="B25" t="s">
        <v>234</v>
      </c>
      <c r="C25" t="s">
        <v>215</v>
      </c>
      <c r="D25" t="s">
        <v>200</v>
      </c>
    </row>
    <row r="26" spans="1:5" x14ac:dyDescent="0.25">
      <c r="A26" t="s">
        <v>100</v>
      </c>
      <c r="B26" t="s">
        <v>235</v>
      </c>
      <c r="C26" t="s">
        <v>217</v>
      </c>
      <c r="D26" t="s">
        <v>200</v>
      </c>
    </row>
    <row r="27" spans="1:5" x14ac:dyDescent="0.25">
      <c r="A27" t="s">
        <v>100</v>
      </c>
      <c r="B27" t="s">
        <v>236</v>
      </c>
      <c r="C27" t="s">
        <v>219</v>
      </c>
      <c r="D27" t="s">
        <v>200</v>
      </c>
      <c r="E27" t="s">
        <v>237</v>
      </c>
    </row>
    <row r="28" spans="1:5" x14ac:dyDescent="0.25">
      <c r="A28" t="s">
        <v>115</v>
      </c>
      <c r="B28" t="s">
        <v>238</v>
      </c>
      <c r="C28" t="s">
        <v>196</v>
      </c>
      <c r="D28" t="s">
        <v>197</v>
      </c>
    </row>
    <row r="29" spans="1:5" x14ac:dyDescent="0.25">
      <c r="A29" t="s">
        <v>115</v>
      </c>
      <c r="B29" t="s">
        <v>239</v>
      </c>
      <c r="C29" t="s">
        <v>199</v>
      </c>
      <c r="D29" t="s">
        <v>200</v>
      </c>
    </row>
    <row r="30" spans="1:5" x14ac:dyDescent="0.25">
      <c r="A30" t="s">
        <v>115</v>
      </c>
      <c r="B30" t="s">
        <v>231</v>
      </c>
      <c r="C30" t="s">
        <v>205</v>
      </c>
      <c r="D30" t="s">
        <v>200</v>
      </c>
    </row>
    <row r="31" spans="1:5" x14ac:dyDescent="0.25">
      <c r="A31" t="s">
        <v>115</v>
      </c>
      <c r="B31" t="s">
        <v>240</v>
      </c>
      <c r="C31" t="s">
        <v>202</v>
      </c>
      <c r="D31" t="s">
        <v>203</v>
      </c>
    </row>
    <row r="32" spans="1:5" x14ac:dyDescent="0.25">
      <c r="A32" t="s">
        <v>115</v>
      </c>
      <c r="B32" t="s">
        <v>209</v>
      </c>
      <c r="C32" t="s">
        <v>205</v>
      </c>
      <c r="D32" t="s">
        <v>200</v>
      </c>
    </row>
    <row r="33" spans="1:4" x14ac:dyDescent="0.25">
      <c r="A33" t="s">
        <v>130</v>
      </c>
      <c r="B33" t="s">
        <v>241</v>
      </c>
      <c r="C33" t="s">
        <v>196</v>
      </c>
      <c r="D33" t="s">
        <v>197</v>
      </c>
    </row>
    <row r="34" spans="1:4" x14ac:dyDescent="0.25">
      <c r="A34" t="s">
        <v>130</v>
      </c>
      <c r="B34" t="s">
        <v>242</v>
      </c>
      <c r="C34" t="s">
        <v>205</v>
      </c>
      <c r="D34" t="s">
        <v>200</v>
      </c>
    </row>
    <row r="35" spans="1:4" x14ac:dyDescent="0.25">
      <c r="A35" t="s">
        <v>144</v>
      </c>
      <c r="B35" t="s">
        <v>243</v>
      </c>
      <c r="C35" t="s">
        <v>196</v>
      </c>
      <c r="D35" t="s">
        <v>197</v>
      </c>
    </row>
    <row r="36" spans="1:4" x14ac:dyDescent="0.25">
      <c r="A36" t="s">
        <v>144</v>
      </c>
      <c r="B36" t="s">
        <v>244</v>
      </c>
      <c r="C36" t="s">
        <v>205</v>
      </c>
      <c r="D36" t="s">
        <v>200</v>
      </c>
    </row>
    <row r="37" spans="1:4" x14ac:dyDescent="0.25">
      <c r="A37" t="s">
        <v>144</v>
      </c>
      <c r="B37" t="s">
        <v>245</v>
      </c>
      <c r="C37" t="s">
        <v>207</v>
      </c>
      <c r="D37" t="s">
        <v>200</v>
      </c>
    </row>
    <row r="38" spans="1:4" x14ac:dyDescent="0.25">
      <c r="A38" t="s">
        <v>157</v>
      </c>
      <c r="B38" t="s">
        <v>246</v>
      </c>
      <c r="C38" t="s">
        <v>196</v>
      </c>
      <c r="D38" t="s">
        <v>197</v>
      </c>
    </row>
    <row r="39" spans="1:4" x14ac:dyDescent="0.25">
      <c r="A39" t="s">
        <v>157</v>
      </c>
      <c r="B39" t="s">
        <v>247</v>
      </c>
      <c r="C39" t="s">
        <v>199</v>
      </c>
      <c r="D39" t="s">
        <v>200</v>
      </c>
    </row>
    <row r="40" spans="1:4" x14ac:dyDescent="0.25">
      <c r="A40" t="s">
        <v>157</v>
      </c>
      <c r="B40" t="s">
        <v>248</v>
      </c>
      <c r="C40" t="s">
        <v>205</v>
      </c>
      <c r="D40" t="s">
        <v>200</v>
      </c>
    </row>
    <row r="41" spans="1:4" x14ac:dyDescent="0.25">
      <c r="A41" t="s">
        <v>157</v>
      </c>
      <c r="B41" t="s">
        <v>249</v>
      </c>
      <c r="C41" t="s">
        <v>202</v>
      </c>
      <c r="D41" t="s">
        <v>203</v>
      </c>
    </row>
    <row r="42" spans="1:4" x14ac:dyDescent="0.25">
      <c r="A42" t="s">
        <v>175</v>
      </c>
      <c r="B42" t="s">
        <v>250</v>
      </c>
      <c r="C42" t="s">
        <v>196</v>
      </c>
      <c r="D42" t="s">
        <v>197</v>
      </c>
    </row>
    <row r="43" spans="1:4" x14ac:dyDescent="0.25">
      <c r="A43" t="s">
        <v>175</v>
      </c>
      <c r="B43" t="s">
        <v>251</v>
      </c>
      <c r="C43" t="s">
        <v>199</v>
      </c>
      <c r="D43" t="s">
        <v>200</v>
      </c>
    </row>
    <row r="44" spans="1:4" x14ac:dyDescent="0.25">
      <c r="A44" t="s">
        <v>175</v>
      </c>
      <c r="B44" t="s">
        <v>252</v>
      </c>
      <c r="C44" t="s">
        <v>202</v>
      </c>
      <c r="D44" t="s">
        <v>203</v>
      </c>
    </row>
    <row r="45" spans="1:4" x14ac:dyDescent="0.25">
      <c r="A45" t="s">
        <v>175</v>
      </c>
      <c r="B45" t="s">
        <v>253</v>
      </c>
      <c r="C45" t="s">
        <v>205</v>
      </c>
      <c r="D45" t="s">
        <v>200</v>
      </c>
    </row>
    <row r="46" spans="1:4" x14ac:dyDescent="0.25">
      <c r="A46" t="s">
        <v>175</v>
      </c>
      <c r="B46" t="s">
        <v>254</v>
      </c>
      <c r="C46" t="s">
        <v>255</v>
      </c>
      <c r="D46" t="s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selection activeCell="K1" sqref="K1"/>
    </sheetView>
  </sheetViews>
  <sheetFormatPr defaultRowHeight="15" x14ac:dyDescent="0.25"/>
  <sheetData>
    <row r="1" spans="1:10" x14ac:dyDescent="0.25">
      <c r="A1" s="1" t="s">
        <v>0</v>
      </c>
      <c r="B1" s="1" t="s">
        <v>191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</row>
    <row r="2" spans="1:10" x14ac:dyDescent="0.25">
      <c r="A2" t="s">
        <v>38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G2" t="s">
        <v>269</v>
      </c>
      <c r="H2" t="s">
        <v>270</v>
      </c>
      <c r="I2" t="s">
        <v>271</v>
      </c>
    </row>
    <row r="3" spans="1:10" x14ac:dyDescent="0.25">
      <c r="A3" t="s">
        <v>38</v>
      </c>
      <c r="B3" t="s">
        <v>264</v>
      </c>
      <c r="C3" t="s">
        <v>265</v>
      </c>
      <c r="D3" t="s">
        <v>266</v>
      </c>
      <c r="E3" t="s">
        <v>272</v>
      </c>
      <c r="F3" t="s">
        <v>273</v>
      </c>
      <c r="G3" t="s">
        <v>269</v>
      </c>
      <c r="H3" t="s">
        <v>270</v>
      </c>
      <c r="I3" t="s">
        <v>274</v>
      </c>
    </row>
    <row r="4" spans="1:10" x14ac:dyDescent="0.25">
      <c r="A4" t="s">
        <v>38</v>
      </c>
      <c r="B4" t="s">
        <v>264</v>
      </c>
      <c r="C4" t="s">
        <v>265</v>
      </c>
      <c r="D4" t="s">
        <v>266</v>
      </c>
      <c r="E4" t="s">
        <v>267</v>
      </c>
      <c r="F4" t="s">
        <v>275</v>
      </c>
      <c r="G4" t="s">
        <v>276</v>
      </c>
      <c r="H4" t="s">
        <v>270</v>
      </c>
      <c r="I4" t="s">
        <v>277</v>
      </c>
    </row>
    <row r="5" spans="1:10" x14ac:dyDescent="0.25">
      <c r="A5" t="s">
        <v>38</v>
      </c>
      <c r="B5" t="s">
        <v>264</v>
      </c>
      <c r="C5" t="s">
        <v>265</v>
      </c>
      <c r="D5" t="s">
        <v>266</v>
      </c>
      <c r="E5" t="s">
        <v>278</v>
      </c>
      <c r="F5" t="s">
        <v>273</v>
      </c>
      <c r="G5" t="s">
        <v>276</v>
      </c>
      <c r="H5" t="s">
        <v>270</v>
      </c>
      <c r="I5" t="s">
        <v>274</v>
      </c>
    </row>
    <row r="6" spans="1:10" x14ac:dyDescent="0.25">
      <c r="A6" t="s">
        <v>38</v>
      </c>
      <c r="B6" t="s">
        <v>264</v>
      </c>
      <c r="C6" t="s">
        <v>265</v>
      </c>
      <c r="D6" t="s">
        <v>266</v>
      </c>
      <c r="E6" t="s">
        <v>279</v>
      </c>
      <c r="F6" t="s">
        <v>280</v>
      </c>
      <c r="G6" t="s">
        <v>281</v>
      </c>
      <c r="H6" t="s">
        <v>270</v>
      </c>
      <c r="I6" t="s">
        <v>282</v>
      </c>
    </row>
    <row r="7" spans="1:10" x14ac:dyDescent="0.25">
      <c r="A7" t="s">
        <v>38</v>
      </c>
      <c r="B7" t="s">
        <v>264</v>
      </c>
      <c r="C7" t="s">
        <v>265</v>
      </c>
      <c r="D7" t="s">
        <v>266</v>
      </c>
      <c r="E7" t="s">
        <v>272</v>
      </c>
      <c r="F7" t="s">
        <v>283</v>
      </c>
      <c r="G7" t="s">
        <v>284</v>
      </c>
      <c r="H7" t="s">
        <v>270</v>
      </c>
      <c r="I7" t="s">
        <v>285</v>
      </c>
    </row>
    <row r="8" spans="1:10" x14ac:dyDescent="0.25">
      <c r="A8" t="s">
        <v>38</v>
      </c>
      <c r="B8" t="s">
        <v>264</v>
      </c>
      <c r="C8" t="s">
        <v>265</v>
      </c>
      <c r="D8" t="s">
        <v>266</v>
      </c>
      <c r="E8" t="s">
        <v>286</v>
      </c>
      <c r="F8" t="s">
        <v>287</v>
      </c>
      <c r="G8" t="s">
        <v>284</v>
      </c>
      <c r="H8" t="s">
        <v>288</v>
      </c>
      <c r="I8" t="s">
        <v>289</v>
      </c>
    </row>
    <row r="9" spans="1:10" x14ac:dyDescent="0.25">
      <c r="A9" t="s">
        <v>38</v>
      </c>
      <c r="B9" t="s">
        <v>264</v>
      </c>
      <c r="C9" t="s">
        <v>290</v>
      </c>
      <c r="D9" t="s">
        <v>266</v>
      </c>
      <c r="E9" t="s">
        <v>291</v>
      </c>
      <c r="F9" t="s">
        <v>292</v>
      </c>
      <c r="G9" t="s">
        <v>55</v>
      </c>
      <c r="H9" t="s">
        <v>288</v>
      </c>
      <c r="I9" t="s">
        <v>293</v>
      </c>
      <c r="J9" t="s">
        <v>294</v>
      </c>
    </row>
    <row r="10" spans="1:10" x14ac:dyDescent="0.25">
      <c r="A10" t="s">
        <v>57</v>
      </c>
      <c r="B10" t="s">
        <v>295</v>
      </c>
      <c r="C10" t="s">
        <v>265</v>
      </c>
      <c r="D10" t="s">
        <v>296</v>
      </c>
      <c r="E10" t="s">
        <v>297</v>
      </c>
      <c r="F10" t="s">
        <v>298</v>
      </c>
      <c r="G10" t="s">
        <v>299</v>
      </c>
      <c r="H10" t="s">
        <v>300</v>
      </c>
      <c r="I10" t="s">
        <v>301</v>
      </c>
    </row>
    <row r="11" spans="1:10" x14ac:dyDescent="0.25">
      <c r="A11" t="s">
        <v>57</v>
      </c>
      <c r="B11" t="s">
        <v>295</v>
      </c>
      <c r="C11" t="s">
        <v>265</v>
      </c>
      <c r="D11" t="s">
        <v>296</v>
      </c>
      <c r="E11" t="s">
        <v>302</v>
      </c>
      <c r="F11" t="s">
        <v>303</v>
      </c>
      <c r="G11" t="s">
        <v>304</v>
      </c>
      <c r="H11" t="s">
        <v>270</v>
      </c>
      <c r="I11" t="s">
        <v>305</v>
      </c>
    </row>
    <row r="12" spans="1:10" x14ac:dyDescent="0.25">
      <c r="A12" t="s">
        <v>72</v>
      </c>
      <c r="B12" t="s">
        <v>306</v>
      </c>
      <c r="C12" t="s">
        <v>265</v>
      </c>
      <c r="F12" t="s">
        <v>307</v>
      </c>
      <c r="G12" t="s">
        <v>308</v>
      </c>
      <c r="H12" t="s">
        <v>309</v>
      </c>
      <c r="I12" t="s">
        <v>310</v>
      </c>
    </row>
    <row r="13" spans="1:10" x14ac:dyDescent="0.25">
      <c r="A13" t="s">
        <v>86</v>
      </c>
      <c r="B13" t="s">
        <v>306</v>
      </c>
      <c r="C13" t="s">
        <v>265</v>
      </c>
      <c r="F13" t="s">
        <v>311</v>
      </c>
      <c r="G13" t="s">
        <v>284</v>
      </c>
      <c r="H13" t="s">
        <v>312</v>
      </c>
      <c r="I13" t="s">
        <v>313</v>
      </c>
    </row>
    <row r="14" spans="1:10" x14ac:dyDescent="0.25">
      <c r="A14" t="s">
        <v>86</v>
      </c>
      <c r="B14" t="s">
        <v>314</v>
      </c>
      <c r="C14" t="s">
        <v>265</v>
      </c>
      <c r="F14" t="s">
        <v>315</v>
      </c>
      <c r="G14" t="s">
        <v>284</v>
      </c>
      <c r="H14" t="s">
        <v>316</v>
      </c>
      <c r="I14" t="s">
        <v>317</v>
      </c>
    </row>
    <row r="15" spans="1:10" x14ac:dyDescent="0.25">
      <c r="A15" t="s">
        <v>100</v>
      </c>
      <c r="B15" t="s">
        <v>306</v>
      </c>
      <c r="C15" t="s">
        <v>265</v>
      </c>
      <c r="D15" t="s">
        <v>318</v>
      </c>
      <c r="E15" t="s">
        <v>319</v>
      </c>
      <c r="F15" t="s">
        <v>320</v>
      </c>
      <c r="G15" t="s">
        <v>321</v>
      </c>
      <c r="H15" t="s">
        <v>322</v>
      </c>
      <c r="I15" t="s">
        <v>323</v>
      </c>
    </row>
    <row r="16" spans="1:10" x14ac:dyDescent="0.25">
      <c r="A16" t="s">
        <v>115</v>
      </c>
      <c r="B16" t="s">
        <v>295</v>
      </c>
      <c r="C16" t="s">
        <v>265</v>
      </c>
      <c r="D16" t="s">
        <v>324</v>
      </c>
      <c r="E16" t="s">
        <v>267</v>
      </c>
      <c r="F16" t="s">
        <v>325</v>
      </c>
      <c r="G16" t="s">
        <v>326</v>
      </c>
      <c r="H16" t="s">
        <v>270</v>
      </c>
      <c r="I16" t="s">
        <v>327</v>
      </c>
    </row>
    <row r="17" spans="1:10" x14ac:dyDescent="0.25">
      <c r="A17" t="s">
        <v>130</v>
      </c>
      <c r="B17" t="s">
        <v>306</v>
      </c>
      <c r="C17" t="s">
        <v>290</v>
      </c>
      <c r="F17" t="s">
        <v>328</v>
      </c>
      <c r="G17" t="s">
        <v>55</v>
      </c>
      <c r="H17" t="s">
        <v>329</v>
      </c>
      <c r="I17" t="s">
        <v>330</v>
      </c>
    </row>
    <row r="18" spans="1:10" x14ac:dyDescent="0.25">
      <c r="A18" t="s">
        <v>130</v>
      </c>
      <c r="B18" t="s">
        <v>306</v>
      </c>
      <c r="C18" t="s">
        <v>265</v>
      </c>
      <c r="F18" t="s">
        <v>331</v>
      </c>
      <c r="G18" t="s">
        <v>332</v>
      </c>
      <c r="H18" t="s">
        <v>333</v>
      </c>
      <c r="I18" t="s">
        <v>334</v>
      </c>
    </row>
    <row r="19" spans="1:10" x14ac:dyDescent="0.25">
      <c r="A19" t="s">
        <v>130</v>
      </c>
      <c r="B19" t="s">
        <v>306</v>
      </c>
      <c r="C19" t="s">
        <v>265</v>
      </c>
      <c r="F19" t="s">
        <v>335</v>
      </c>
      <c r="G19" t="s">
        <v>284</v>
      </c>
      <c r="H19" t="s">
        <v>336</v>
      </c>
      <c r="I19" t="s">
        <v>337</v>
      </c>
    </row>
    <row r="20" spans="1:10" x14ac:dyDescent="0.25">
      <c r="A20" t="s">
        <v>144</v>
      </c>
      <c r="B20" t="s">
        <v>338</v>
      </c>
      <c r="C20" t="s">
        <v>290</v>
      </c>
      <c r="F20" t="s">
        <v>339</v>
      </c>
      <c r="G20" t="s">
        <v>55</v>
      </c>
      <c r="H20" t="s">
        <v>316</v>
      </c>
      <c r="I20" t="s">
        <v>340</v>
      </c>
    </row>
    <row r="21" spans="1:10" x14ac:dyDescent="0.25">
      <c r="A21" t="s">
        <v>157</v>
      </c>
      <c r="B21" t="s">
        <v>341</v>
      </c>
      <c r="C21" t="s">
        <v>265</v>
      </c>
      <c r="D21" t="s">
        <v>342</v>
      </c>
      <c r="E21" t="s">
        <v>343</v>
      </c>
      <c r="F21" t="s">
        <v>344</v>
      </c>
      <c r="G21" t="s">
        <v>269</v>
      </c>
      <c r="H21" t="s">
        <v>345</v>
      </c>
      <c r="I21" t="s">
        <v>345</v>
      </c>
    </row>
    <row r="22" spans="1:10" x14ac:dyDescent="0.25">
      <c r="A22" t="s">
        <v>157</v>
      </c>
      <c r="B22" t="s">
        <v>341</v>
      </c>
      <c r="C22" t="s">
        <v>265</v>
      </c>
      <c r="D22" t="s">
        <v>342</v>
      </c>
      <c r="E22" t="s">
        <v>343</v>
      </c>
      <c r="F22" t="s">
        <v>346</v>
      </c>
      <c r="G22" t="s">
        <v>347</v>
      </c>
      <c r="H22" t="s">
        <v>345</v>
      </c>
      <c r="I22" t="s">
        <v>348</v>
      </c>
    </row>
    <row r="23" spans="1:10" x14ac:dyDescent="0.25">
      <c r="A23" t="s">
        <v>157</v>
      </c>
      <c r="B23" t="s">
        <v>341</v>
      </c>
      <c r="C23" t="s">
        <v>265</v>
      </c>
      <c r="D23" t="s">
        <v>342</v>
      </c>
      <c r="E23" t="s">
        <v>349</v>
      </c>
      <c r="F23" t="s">
        <v>350</v>
      </c>
      <c r="G23" t="s">
        <v>276</v>
      </c>
      <c r="H23" t="s">
        <v>351</v>
      </c>
      <c r="I23" t="s">
        <v>352</v>
      </c>
    </row>
    <row r="24" spans="1:10" x14ac:dyDescent="0.25">
      <c r="A24" t="s">
        <v>157</v>
      </c>
      <c r="B24" t="s">
        <v>341</v>
      </c>
      <c r="C24" t="s">
        <v>265</v>
      </c>
      <c r="D24" t="s">
        <v>342</v>
      </c>
      <c r="E24" t="s">
        <v>349</v>
      </c>
      <c r="F24" t="s">
        <v>344</v>
      </c>
      <c r="G24" t="s">
        <v>304</v>
      </c>
      <c r="H24" t="s">
        <v>351</v>
      </c>
      <c r="I24" t="s">
        <v>351</v>
      </c>
    </row>
    <row r="25" spans="1:10" x14ac:dyDescent="0.25">
      <c r="A25" t="s">
        <v>157</v>
      </c>
      <c r="B25" t="s">
        <v>341</v>
      </c>
      <c r="C25" t="s">
        <v>265</v>
      </c>
      <c r="D25" t="s">
        <v>353</v>
      </c>
      <c r="E25" t="s">
        <v>354</v>
      </c>
      <c r="F25" t="s">
        <v>355</v>
      </c>
      <c r="G25" t="s">
        <v>284</v>
      </c>
      <c r="H25" t="s">
        <v>356</v>
      </c>
      <c r="I25" t="s">
        <v>357</v>
      </c>
    </row>
    <row r="26" spans="1:10" x14ac:dyDescent="0.25">
      <c r="A26" t="s">
        <v>157</v>
      </c>
      <c r="B26" t="s">
        <v>341</v>
      </c>
      <c r="C26" t="s">
        <v>290</v>
      </c>
      <c r="D26" t="s">
        <v>342</v>
      </c>
      <c r="E26" t="s">
        <v>358</v>
      </c>
      <c r="F26" t="s">
        <v>359</v>
      </c>
      <c r="G26" t="s">
        <v>55</v>
      </c>
      <c r="H26" t="s">
        <v>360</v>
      </c>
      <c r="I26" t="s">
        <v>361</v>
      </c>
      <c r="J26" t="s">
        <v>362</v>
      </c>
    </row>
    <row r="27" spans="1:10" x14ac:dyDescent="0.25">
      <c r="A27" t="s">
        <v>175</v>
      </c>
      <c r="B27" t="s">
        <v>363</v>
      </c>
      <c r="C27" t="s">
        <v>265</v>
      </c>
      <c r="F27" t="s">
        <v>364</v>
      </c>
      <c r="G27" t="s">
        <v>276</v>
      </c>
      <c r="H27" t="s">
        <v>365</v>
      </c>
      <c r="I27" t="s">
        <v>366</v>
      </c>
    </row>
    <row r="28" spans="1:10" x14ac:dyDescent="0.25">
      <c r="A28" t="s">
        <v>175</v>
      </c>
      <c r="B28" t="s">
        <v>363</v>
      </c>
      <c r="C28" t="s">
        <v>290</v>
      </c>
      <c r="F28" t="s">
        <v>328</v>
      </c>
      <c r="G28" t="s">
        <v>55</v>
      </c>
      <c r="H28" t="s">
        <v>367</v>
      </c>
      <c r="I28" t="s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activeCell="E10" sqref="E10"/>
    </sheetView>
  </sheetViews>
  <sheetFormatPr defaultRowHeight="15" x14ac:dyDescent="0.25"/>
  <sheetData>
    <row r="1" spans="1:8" x14ac:dyDescent="0.25">
      <c r="A1" s="1" t="s">
        <v>0</v>
      </c>
      <c r="B1" s="1" t="s">
        <v>369</v>
      </c>
      <c r="C1" s="1" t="s">
        <v>191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</row>
    <row r="2" spans="1:8" x14ac:dyDescent="0.25">
      <c r="A2" t="s">
        <v>38</v>
      </c>
      <c r="B2" t="s">
        <v>375</v>
      </c>
      <c r="C2" t="s">
        <v>376</v>
      </c>
      <c r="D2" t="s">
        <v>96</v>
      </c>
      <c r="E2" t="s">
        <v>377</v>
      </c>
      <c r="F2" t="s">
        <v>55</v>
      </c>
      <c r="G2" t="s">
        <v>378</v>
      </c>
      <c r="H2" t="s">
        <v>379</v>
      </c>
    </row>
    <row r="3" spans="1:8" x14ac:dyDescent="0.25">
      <c r="A3" t="s">
        <v>57</v>
      </c>
      <c r="B3" t="s">
        <v>375</v>
      </c>
      <c r="C3" t="s">
        <v>380</v>
      </c>
      <c r="D3" t="s">
        <v>96</v>
      </c>
      <c r="E3" t="s">
        <v>381</v>
      </c>
      <c r="F3" t="s">
        <v>55</v>
      </c>
      <c r="G3" t="s">
        <v>382</v>
      </c>
      <c r="H3" t="s">
        <v>383</v>
      </c>
    </row>
    <row r="4" spans="1:8" x14ac:dyDescent="0.25">
      <c r="A4" t="s">
        <v>72</v>
      </c>
      <c r="B4" t="s">
        <v>375</v>
      </c>
      <c r="C4" t="s">
        <v>384</v>
      </c>
      <c r="D4" t="s">
        <v>96</v>
      </c>
      <c r="E4" t="s">
        <v>377</v>
      </c>
      <c r="F4" t="s">
        <v>55</v>
      </c>
      <c r="G4" t="s">
        <v>385</v>
      </c>
      <c r="H4" t="s">
        <v>386</v>
      </c>
    </row>
    <row r="5" spans="1:8" x14ac:dyDescent="0.25">
      <c r="A5" t="s">
        <v>100</v>
      </c>
      <c r="B5" t="s">
        <v>375</v>
      </c>
      <c r="C5" t="s">
        <v>387</v>
      </c>
      <c r="D5" t="s">
        <v>96</v>
      </c>
      <c r="E5" t="s">
        <v>377</v>
      </c>
      <c r="F5" t="s">
        <v>55</v>
      </c>
      <c r="G5" t="s">
        <v>388</v>
      </c>
      <c r="H5" t="s">
        <v>389</v>
      </c>
    </row>
    <row r="6" spans="1:8" x14ac:dyDescent="0.25">
      <c r="A6" t="s">
        <v>115</v>
      </c>
      <c r="B6" t="s">
        <v>375</v>
      </c>
      <c r="C6" t="s">
        <v>390</v>
      </c>
      <c r="D6" t="s">
        <v>96</v>
      </c>
      <c r="E6" t="s">
        <v>377</v>
      </c>
      <c r="F6" t="s">
        <v>55</v>
      </c>
      <c r="G6" t="s">
        <v>391</v>
      </c>
      <c r="H6" t="s">
        <v>392</v>
      </c>
    </row>
    <row r="7" spans="1:8" x14ac:dyDescent="0.25">
      <c r="A7" t="s">
        <v>130</v>
      </c>
      <c r="B7" t="s">
        <v>375</v>
      </c>
      <c r="C7" t="s">
        <v>387</v>
      </c>
      <c r="D7" t="s">
        <v>96</v>
      </c>
      <c r="E7" t="s">
        <v>377</v>
      </c>
      <c r="F7" t="s">
        <v>55</v>
      </c>
      <c r="G7" t="s">
        <v>393</v>
      </c>
      <c r="H7" t="s">
        <v>394</v>
      </c>
    </row>
    <row r="8" spans="1:8" x14ac:dyDescent="0.25">
      <c r="A8" t="s">
        <v>144</v>
      </c>
      <c r="B8" t="s">
        <v>375</v>
      </c>
      <c r="C8" t="s">
        <v>376</v>
      </c>
      <c r="D8" t="s">
        <v>96</v>
      </c>
      <c r="E8" t="s">
        <v>381</v>
      </c>
      <c r="F8" t="s">
        <v>55</v>
      </c>
      <c r="G8" t="s">
        <v>395</v>
      </c>
      <c r="H8" t="s">
        <v>396</v>
      </c>
    </row>
    <row r="9" spans="1:8" x14ac:dyDescent="0.25">
      <c r="A9" t="s">
        <v>157</v>
      </c>
      <c r="B9" t="s">
        <v>375</v>
      </c>
      <c r="C9" t="s">
        <v>397</v>
      </c>
      <c r="D9" t="s">
        <v>96</v>
      </c>
      <c r="E9" t="s">
        <v>398</v>
      </c>
      <c r="F9" t="s">
        <v>55</v>
      </c>
      <c r="G9" t="s">
        <v>399</v>
      </c>
      <c r="H9" t="s">
        <v>400</v>
      </c>
    </row>
    <row r="10" spans="1:8" x14ac:dyDescent="0.25">
      <c r="A10" t="s">
        <v>175</v>
      </c>
      <c r="B10" t="s">
        <v>375</v>
      </c>
      <c r="C10" t="s">
        <v>397</v>
      </c>
      <c r="D10" t="s">
        <v>96</v>
      </c>
      <c r="E10" t="s">
        <v>398</v>
      </c>
      <c r="F10" t="s">
        <v>55</v>
      </c>
      <c r="G10" t="s">
        <v>401</v>
      </c>
      <c r="H10" t="s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7" sqref="C7"/>
    </sheetView>
  </sheetViews>
  <sheetFormatPr defaultRowHeight="15" x14ac:dyDescent="0.25"/>
  <sheetData>
    <row r="1" spans="1:3" x14ac:dyDescent="0.25">
      <c r="A1" s="1" t="s">
        <v>0</v>
      </c>
      <c r="B1" s="1" t="s">
        <v>403</v>
      </c>
      <c r="C1" s="1" t="s">
        <v>404</v>
      </c>
    </row>
    <row r="2" spans="1:3" x14ac:dyDescent="0.25">
      <c r="A2" t="s">
        <v>38</v>
      </c>
      <c r="B2" t="s">
        <v>405</v>
      </c>
      <c r="C2" t="str">
        <f>HYPERLINK("https://old-admin.primestyle.com/cron/uploads/17494920830.jpg", "view attachment")</f>
        <v>view attachment</v>
      </c>
    </row>
    <row r="3" spans="1:3" x14ac:dyDescent="0.25">
      <c r="A3" t="s">
        <v>72</v>
      </c>
      <c r="B3" t="s">
        <v>406</v>
      </c>
      <c r="C3" t="str">
        <f>HYPERLINK("https://old-admin.primestyle.com/cron/uploads/17492406580.jpg", "view attachment")</f>
        <v>view attachment</v>
      </c>
    </row>
    <row r="4" spans="1:3" x14ac:dyDescent="0.25">
      <c r="A4" t="s">
        <v>100</v>
      </c>
      <c r="B4" t="s">
        <v>407</v>
      </c>
      <c r="C4" t="str">
        <f>HYPERLINK("https://old-admin.primestyle.com/cron/uploads/17489742750.jpg", "view attachment")</f>
        <v>view attachment</v>
      </c>
    </row>
    <row r="5" spans="1:3" x14ac:dyDescent="0.25">
      <c r="A5" t="s">
        <v>115</v>
      </c>
      <c r="B5" t="s">
        <v>408</v>
      </c>
      <c r="C5" t="str">
        <f>HYPERLINK("https://old-admin.primestyle.com/cron/uploads/17489742590.jpg", "view attachment")</f>
        <v>view attachment</v>
      </c>
    </row>
    <row r="6" spans="1:3" x14ac:dyDescent="0.25">
      <c r="A6" t="s">
        <v>157</v>
      </c>
      <c r="B6" t="s">
        <v>409</v>
      </c>
      <c r="C6" t="str">
        <f>HYPERLINK("https://old-admin.primestyle.com/cron/uploads/17486103450.jpg", "view attachment")</f>
        <v>view attachment</v>
      </c>
    </row>
    <row r="7" spans="1:3" x14ac:dyDescent="0.25">
      <c r="A7" t="s">
        <v>175</v>
      </c>
      <c r="B7" t="s">
        <v>410</v>
      </c>
      <c r="C7" t="str">
        <f>HYPERLINK("https://old-admin.primestyle.com/cron/uploads/17486325540.jpg", "view attachment")</f>
        <v>view attachment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tabSelected="1" topLeftCell="A22" workbookViewId="0">
      <selection activeCell="E39" sqref="E39"/>
    </sheetView>
  </sheetViews>
  <sheetFormatPr defaultRowHeight="15" x14ac:dyDescent="0.25"/>
  <sheetData>
    <row r="1" spans="1:6" x14ac:dyDescent="0.25">
      <c r="A1" s="1" t="s">
        <v>0</v>
      </c>
      <c r="B1" s="1" t="s">
        <v>411</v>
      </c>
      <c r="C1" s="1" t="s">
        <v>191</v>
      </c>
      <c r="D1" s="1" t="s">
        <v>194</v>
      </c>
      <c r="E1" s="1" t="s">
        <v>412</v>
      </c>
      <c r="F1" s="1" t="s">
        <v>413</v>
      </c>
    </row>
    <row r="2" spans="1:6" x14ac:dyDescent="0.25">
      <c r="A2" t="s">
        <v>38</v>
      </c>
      <c r="B2" t="s">
        <v>200</v>
      </c>
      <c r="C2" t="s">
        <v>414</v>
      </c>
      <c r="D2" t="s">
        <v>415</v>
      </c>
      <c r="E2" t="str">
        <f>HYPERLINK("https://old-admin.primestyle.com/skin/adminhtml/uploads/comments/1654049803.pdf", "1654049803.pdf")</f>
        <v>1654049803.pdf</v>
      </c>
    </row>
    <row r="3" spans="1:6" x14ac:dyDescent="0.25">
      <c r="A3" t="s">
        <v>38</v>
      </c>
      <c r="B3" t="s">
        <v>200</v>
      </c>
      <c r="C3" t="s">
        <v>414</v>
      </c>
      <c r="D3" t="s">
        <v>416</v>
      </c>
      <c r="E3" t="str">
        <f>HYPERLINK("https://old-admin.primestyle.com/skin/adminhtml/uploads/comments/1615006210.pdf", "1615006210.pdf")</f>
        <v>1615006210.pdf</v>
      </c>
    </row>
    <row r="4" spans="1:6" x14ac:dyDescent="0.25">
      <c r="A4" t="s">
        <v>38</v>
      </c>
      <c r="B4" t="s">
        <v>200</v>
      </c>
      <c r="C4" t="s">
        <v>417</v>
      </c>
      <c r="D4" t="s">
        <v>418</v>
      </c>
      <c r="E4" t="str">
        <f>HYPERLINK("https://old-admin.primestyle.com/skin/adminhtml/uploads/comments/1463512862.pdf", "1463512862.pdf")</f>
        <v>1463512862.pdf</v>
      </c>
    </row>
    <row r="5" spans="1:6" x14ac:dyDescent="0.25">
      <c r="A5" t="s">
        <v>57</v>
      </c>
      <c r="B5" t="s">
        <v>200</v>
      </c>
      <c r="C5" t="s">
        <v>419</v>
      </c>
      <c r="D5" t="s">
        <v>420</v>
      </c>
      <c r="E5" t="str">
        <f>HYPERLINK("https://old-admin.primestyle.com/skin/adminhtml/uploads/comments/1246904272.pdf", "1246904272.pdf")</f>
        <v>1246904272.pdf</v>
      </c>
    </row>
    <row r="6" spans="1:6" x14ac:dyDescent="0.25">
      <c r="A6" t="s">
        <v>57</v>
      </c>
      <c r="B6" t="s">
        <v>200</v>
      </c>
      <c r="C6" t="s">
        <v>421</v>
      </c>
      <c r="D6" t="s">
        <v>415</v>
      </c>
      <c r="E6" t="str">
        <f>HYPERLINK("https://old-admin.primestyle.com/skin/adminhtml/uploads/comments/1092811979.pdf", "1092811979.pdf")</f>
        <v>1092811979.pdf</v>
      </c>
    </row>
    <row r="7" spans="1:6" x14ac:dyDescent="0.25">
      <c r="A7" t="s">
        <v>57</v>
      </c>
      <c r="B7" t="s">
        <v>200</v>
      </c>
      <c r="C7" t="s">
        <v>421</v>
      </c>
      <c r="D7" t="s">
        <v>416</v>
      </c>
      <c r="E7" t="str">
        <f>HYPERLINK("https://old-admin.primestyle.com/skin/adminhtml/uploads/comments/1470747657.pdf", "1470747657.pdf")</f>
        <v>1470747657.pdf</v>
      </c>
    </row>
    <row r="8" spans="1:6" x14ac:dyDescent="0.25">
      <c r="A8" t="s">
        <v>57</v>
      </c>
      <c r="B8" t="s">
        <v>200</v>
      </c>
      <c r="C8" t="s">
        <v>422</v>
      </c>
      <c r="D8" t="s">
        <v>423</v>
      </c>
      <c r="E8" t="str">
        <f>HYPERLINK("https://old-admin.primestyle.com/skin/adminhtml/uploads/comments/1025361483.pdf", "1025361483.pdf")</f>
        <v>1025361483.pdf</v>
      </c>
    </row>
    <row r="9" spans="1:6" x14ac:dyDescent="0.25">
      <c r="A9" t="s">
        <v>57</v>
      </c>
      <c r="B9" t="s">
        <v>200</v>
      </c>
      <c r="C9" t="s">
        <v>424</v>
      </c>
      <c r="D9" t="s">
        <v>425</v>
      </c>
      <c r="E9" t="str">
        <f>HYPERLINK("https://old-admin.primestyle.com/skin/adminhtml/uploads/comments/925293634.jpg", "925293634.jpg")</f>
        <v>925293634.jpg</v>
      </c>
    </row>
    <row r="10" spans="1:6" x14ac:dyDescent="0.25">
      <c r="A10" t="s">
        <v>72</v>
      </c>
      <c r="B10" t="s">
        <v>200</v>
      </c>
      <c r="C10" t="s">
        <v>426</v>
      </c>
      <c r="D10" t="s">
        <v>427</v>
      </c>
    </row>
    <row r="11" spans="1:6" x14ac:dyDescent="0.25">
      <c r="A11" t="s">
        <v>72</v>
      </c>
      <c r="B11" t="s">
        <v>200</v>
      </c>
      <c r="C11" t="s">
        <v>428</v>
      </c>
      <c r="D11" t="s">
        <v>415</v>
      </c>
      <c r="E11" t="str">
        <f>HYPERLINK("https://old-admin.primestyle.com/skin/adminhtml/uploads/comments/2013826544.pdf", "2013826544.pdf")</f>
        <v>2013826544.pdf</v>
      </c>
    </row>
    <row r="12" spans="1:6" x14ac:dyDescent="0.25">
      <c r="A12" t="s">
        <v>72</v>
      </c>
      <c r="B12" t="s">
        <v>200</v>
      </c>
      <c r="C12" t="s">
        <v>428</v>
      </c>
      <c r="D12" t="s">
        <v>416</v>
      </c>
      <c r="E12" t="str">
        <f>HYPERLINK("https://old-admin.primestyle.com/skin/adminhtml/uploads/comments/1530056884.pdf", "1530056884.pdf")</f>
        <v>1530056884.pdf</v>
      </c>
    </row>
    <row r="13" spans="1:6" x14ac:dyDescent="0.25">
      <c r="A13" t="s">
        <v>72</v>
      </c>
      <c r="B13" t="s">
        <v>200</v>
      </c>
      <c r="C13" t="s">
        <v>429</v>
      </c>
      <c r="D13" t="s">
        <v>430</v>
      </c>
      <c r="E13" t="str">
        <f>HYPERLINK("https://old-admin.primestyle.com/skin/adminhtml/uploads/comments/1636403876.pdf", "1636403876.pdf")</f>
        <v>1636403876.pdf</v>
      </c>
    </row>
    <row r="14" spans="1:6" x14ac:dyDescent="0.25">
      <c r="A14" t="s">
        <v>86</v>
      </c>
      <c r="B14" t="s">
        <v>200</v>
      </c>
      <c r="C14" t="s">
        <v>431</v>
      </c>
      <c r="D14" t="s">
        <v>432</v>
      </c>
      <c r="E14" t="str">
        <f>HYPERLINK("https://old-admin.primestyle.com/skin/adminhtml/uploads/comments/2080908112.pdf", "2080908112.pdf")</f>
        <v>2080908112.pdf</v>
      </c>
    </row>
    <row r="15" spans="1:6" x14ac:dyDescent="0.25">
      <c r="A15" t="s">
        <v>86</v>
      </c>
      <c r="B15" t="s">
        <v>200</v>
      </c>
      <c r="C15" t="s">
        <v>433</v>
      </c>
      <c r="D15" t="s">
        <v>434</v>
      </c>
      <c r="E15" t="str">
        <f>HYPERLINK("https://old-admin.primestyle.com/skin/adminhtml/uploads/comments/925873004.pdf", "925873004.pdf")</f>
        <v>925873004.pdf</v>
      </c>
    </row>
    <row r="16" spans="1:6" x14ac:dyDescent="0.25">
      <c r="A16" t="s">
        <v>86</v>
      </c>
      <c r="B16" t="s">
        <v>200</v>
      </c>
      <c r="C16" t="s">
        <v>433</v>
      </c>
      <c r="D16" t="s">
        <v>435</v>
      </c>
      <c r="E16" t="str">
        <f>HYPERLINK("https://old-admin.primestyle.com/skin/adminhtml/uploads/comments/759871630.pdf", "759871630.pdf")</f>
        <v>759871630.pdf</v>
      </c>
    </row>
    <row r="17" spans="1:5" x14ac:dyDescent="0.25">
      <c r="A17" t="s">
        <v>86</v>
      </c>
      <c r="B17" t="s">
        <v>200</v>
      </c>
      <c r="C17" t="s">
        <v>436</v>
      </c>
      <c r="D17" t="s">
        <v>415</v>
      </c>
      <c r="E17" t="str">
        <f>HYPERLINK("https://old-admin.primestyle.com/skin/adminhtml/uploads/comments/1555018910.pdf", "1555018910.pdf")</f>
        <v>1555018910.pdf</v>
      </c>
    </row>
    <row r="18" spans="1:5" x14ac:dyDescent="0.25">
      <c r="A18" t="s">
        <v>86</v>
      </c>
      <c r="B18" t="s">
        <v>200</v>
      </c>
      <c r="C18" t="s">
        <v>437</v>
      </c>
      <c r="D18" t="s">
        <v>416</v>
      </c>
      <c r="E18" t="str">
        <f>HYPERLINK("https://old-admin.primestyle.com/skin/adminhtml/uploads/comments/1841595458.pdf", "1841595458.pdf")</f>
        <v>1841595458.pdf</v>
      </c>
    </row>
    <row r="19" spans="1:5" x14ac:dyDescent="0.25">
      <c r="A19" t="s">
        <v>86</v>
      </c>
      <c r="B19" t="s">
        <v>200</v>
      </c>
      <c r="C19" t="s">
        <v>437</v>
      </c>
      <c r="D19" t="s">
        <v>438</v>
      </c>
      <c r="E19" t="str">
        <f>HYPERLINK("https://old-admin.primestyle.com/skin/adminhtml/uploads/comments/479527901.pdf", "479527901.pdf")</f>
        <v>479527901.pdf</v>
      </c>
    </row>
    <row r="20" spans="1:5" x14ac:dyDescent="0.25">
      <c r="A20" t="s">
        <v>100</v>
      </c>
      <c r="B20" t="s">
        <v>200</v>
      </c>
      <c r="C20" t="s">
        <v>439</v>
      </c>
      <c r="D20" t="s">
        <v>440</v>
      </c>
    </row>
    <row r="21" spans="1:5" x14ac:dyDescent="0.25">
      <c r="A21" t="s">
        <v>100</v>
      </c>
      <c r="B21" t="s">
        <v>200</v>
      </c>
      <c r="C21" t="s">
        <v>441</v>
      </c>
      <c r="D21" t="s">
        <v>420</v>
      </c>
      <c r="E21" t="str">
        <f>HYPERLINK("https://old-admin.primestyle.com/skin/adminhtml/uploads/comments/1517801969.pdf", "1517801969.pdf")</f>
        <v>1517801969.pdf</v>
      </c>
    </row>
    <row r="22" spans="1:5" x14ac:dyDescent="0.25">
      <c r="A22" t="s">
        <v>100</v>
      </c>
      <c r="B22" t="s">
        <v>200</v>
      </c>
      <c r="C22" t="s">
        <v>442</v>
      </c>
      <c r="D22" t="s">
        <v>415</v>
      </c>
      <c r="E22" t="str">
        <f>HYPERLINK("https://old-admin.primestyle.com/skin/adminhtml/uploads/comments/1116110107.pdf", "1116110107.pdf")</f>
        <v>1116110107.pdf</v>
      </c>
    </row>
    <row r="23" spans="1:5" x14ac:dyDescent="0.25">
      <c r="A23" t="s">
        <v>100</v>
      </c>
      <c r="B23" t="s">
        <v>200</v>
      </c>
      <c r="C23" t="s">
        <v>443</v>
      </c>
      <c r="D23" t="s">
        <v>416</v>
      </c>
      <c r="E23" t="str">
        <f>HYPERLINK("https://old-admin.primestyle.com/skin/adminhtml/uploads/comments/1016791853.pdf", "1016791853.pdf")</f>
        <v>1016791853.pdf</v>
      </c>
    </row>
    <row r="24" spans="1:5" x14ac:dyDescent="0.25">
      <c r="A24" t="s">
        <v>100</v>
      </c>
      <c r="B24" t="s">
        <v>200</v>
      </c>
      <c r="C24" t="s">
        <v>444</v>
      </c>
      <c r="D24" t="s">
        <v>445</v>
      </c>
      <c r="E24" t="str">
        <f>HYPERLINK("https://old-admin.primestyle.com/skin/adminhtml/uploads/comments/584303704.pdf", "584303704.pdf")</f>
        <v>584303704.pdf</v>
      </c>
    </row>
    <row r="25" spans="1:5" x14ac:dyDescent="0.25">
      <c r="A25" t="s">
        <v>115</v>
      </c>
      <c r="B25" t="s">
        <v>200</v>
      </c>
      <c r="C25" t="s">
        <v>446</v>
      </c>
      <c r="D25" t="s">
        <v>447</v>
      </c>
      <c r="E25" t="str">
        <f>HYPERLINK("https://old-admin.primestyle.com/skin/adminhtml/uploads/comments/1790784221.pdf", "1790784221.pdf")</f>
        <v>1790784221.pdf</v>
      </c>
    </row>
    <row r="26" spans="1:5" x14ac:dyDescent="0.25">
      <c r="A26" t="s">
        <v>115</v>
      </c>
      <c r="B26" t="s">
        <v>200</v>
      </c>
      <c r="C26" t="s">
        <v>448</v>
      </c>
      <c r="D26" t="s">
        <v>449</v>
      </c>
      <c r="E26" t="str">
        <f>HYPERLINK("https://old-admin.primestyle.com/skin/adminhtml/uploads/comments/1282336540.pdf", "1282336540.pdf")</f>
        <v>1282336540.pdf</v>
      </c>
    </row>
    <row r="27" spans="1:5" x14ac:dyDescent="0.25">
      <c r="A27" t="s">
        <v>115</v>
      </c>
      <c r="B27" t="s">
        <v>200</v>
      </c>
      <c r="C27" t="s">
        <v>450</v>
      </c>
      <c r="D27" t="s">
        <v>416</v>
      </c>
      <c r="E27" t="str">
        <f>HYPERLINK("https://old-admin.primestyle.com/skin/adminhtml/uploads/comments/1420209628.pdf", "1420209628.pdf")</f>
        <v>1420209628.pdf</v>
      </c>
    </row>
    <row r="28" spans="1:5" x14ac:dyDescent="0.25">
      <c r="A28" t="s">
        <v>115</v>
      </c>
      <c r="B28" t="s">
        <v>200</v>
      </c>
      <c r="C28" t="s">
        <v>451</v>
      </c>
      <c r="D28" t="s">
        <v>452</v>
      </c>
      <c r="E28" t="str">
        <f>HYPERLINK("https://old-admin.primestyle.com/skin/adminhtml/uploads/comments/1369057661.pdf", "1369057661.pdf")</f>
        <v>1369057661.pdf</v>
      </c>
    </row>
    <row r="29" spans="1:5" x14ac:dyDescent="0.25">
      <c r="A29" t="s">
        <v>130</v>
      </c>
      <c r="B29" t="s">
        <v>200</v>
      </c>
      <c r="C29" t="s">
        <v>453</v>
      </c>
      <c r="D29" t="s">
        <v>447</v>
      </c>
      <c r="E29" t="str">
        <f>HYPERLINK("https://old-admin.primestyle.com/skin/adminhtml/uploads/comments/1431875800.pdf", "1431875800.pdf")</f>
        <v>1431875800.pdf</v>
      </c>
    </row>
    <row r="30" spans="1:5" x14ac:dyDescent="0.25">
      <c r="A30" t="s">
        <v>130</v>
      </c>
      <c r="B30" t="s">
        <v>200</v>
      </c>
      <c r="C30" t="s">
        <v>454</v>
      </c>
      <c r="D30" t="s">
        <v>415</v>
      </c>
      <c r="E30" t="str">
        <f>HYPERLINK("https://old-admin.primestyle.com/skin/adminhtml/uploads/comments/1618127941.pdf", "1618127941.pdf")</f>
        <v>1618127941.pdf</v>
      </c>
    </row>
    <row r="31" spans="1:5" x14ac:dyDescent="0.25">
      <c r="A31" t="s">
        <v>130</v>
      </c>
      <c r="B31" t="s">
        <v>200</v>
      </c>
      <c r="C31" t="s">
        <v>455</v>
      </c>
      <c r="D31" t="s">
        <v>416</v>
      </c>
      <c r="E31" t="str">
        <f>HYPERLINK("https://old-admin.primestyle.com/skin/adminhtml/uploads/comments/865861656.pdf", "865861656.pdf")</f>
        <v>865861656.pdf</v>
      </c>
    </row>
    <row r="32" spans="1:5" x14ac:dyDescent="0.25">
      <c r="A32" t="s">
        <v>130</v>
      </c>
      <c r="B32" t="s">
        <v>200</v>
      </c>
      <c r="C32" t="s">
        <v>456</v>
      </c>
      <c r="D32" t="s">
        <v>457</v>
      </c>
      <c r="E32" t="str">
        <f>HYPERLINK("https://old-admin.primestyle.com/skin/adminhtml/uploads/comments/359793697.pdf", "359793697.pdf")</f>
        <v>359793697.pdf</v>
      </c>
    </row>
    <row r="33" spans="1:6" x14ac:dyDescent="0.25">
      <c r="A33" t="s">
        <v>144</v>
      </c>
      <c r="B33" t="s">
        <v>200</v>
      </c>
      <c r="C33" t="s">
        <v>458</v>
      </c>
      <c r="D33" t="s">
        <v>415</v>
      </c>
      <c r="E33" t="str">
        <f>HYPERLINK("https://old-admin.primestyle.com/skin/adminhtml/uploads/comments/678612324.pdf", "678612324.pdf")</f>
        <v>678612324.pdf</v>
      </c>
    </row>
    <row r="34" spans="1:6" x14ac:dyDescent="0.25">
      <c r="A34" t="s">
        <v>144</v>
      </c>
      <c r="B34" t="s">
        <v>200</v>
      </c>
      <c r="C34" t="s">
        <v>458</v>
      </c>
      <c r="D34" t="s">
        <v>416</v>
      </c>
      <c r="E34" t="str">
        <f>HYPERLINK("https://old-admin.primestyle.com/skin/adminhtml/uploads/comments/1291248096.pdf", "1291248096.pdf")</f>
        <v>1291248096.pdf</v>
      </c>
    </row>
    <row r="35" spans="1:6" x14ac:dyDescent="0.25">
      <c r="A35" t="s">
        <v>144</v>
      </c>
      <c r="B35" t="s">
        <v>200</v>
      </c>
      <c r="C35" t="s">
        <v>459</v>
      </c>
      <c r="D35" t="s">
        <v>460</v>
      </c>
      <c r="E35" t="str">
        <f>HYPERLINK("https://old-admin.primestyle.com/skin/adminhtml/uploads/comments/486532078.pdf", "486532078.pdf")</f>
        <v>486532078.pdf</v>
      </c>
    </row>
    <row r="36" spans="1:6" x14ac:dyDescent="0.25">
      <c r="A36" t="s">
        <v>157</v>
      </c>
      <c r="B36" t="s">
        <v>200</v>
      </c>
      <c r="C36" t="s">
        <v>461</v>
      </c>
      <c r="D36" t="s">
        <v>415</v>
      </c>
      <c r="E36" t="str">
        <f>HYPERLINK("https://old-admin.primestyle.com/skin/adminhtml/uploads/comments/963370734.pdf", "963370734.pdf")</f>
        <v>963370734.pdf</v>
      </c>
      <c r="F36" t="str">
        <f>HYPERLINK("https://old-admin.primestyle.com/skin/adminhtml/uploads/comments/1696923209.pdf", "1696923209.pdf")</f>
        <v>1696923209.pdf</v>
      </c>
    </row>
    <row r="37" spans="1:6" x14ac:dyDescent="0.25">
      <c r="A37" t="s">
        <v>157</v>
      </c>
      <c r="B37" t="s">
        <v>200</v>
      </c>
      <c r="C37" t="s">
        <v>462</v>
      </c>
      <c r="D37" t="s">
        <v>416</v>
      </c>
      <c r="E37" t="str">
        <f>HYPERLINK("https://old-admin.primestyle.com/skin/adminhtml/uploads/comments/1533916828.pdf", "1533916828.pdf")</f>
        <v>1533916828.pdf</v>
      </c>
    </row>
    <row r="38" spans="1:6" x14ac:dyDescent="0.25">
      <c r="A38" t="s">
        <v>157</v>
      </c>
      <c r="B38" t="s">
        <v>200</v>
      </c>
      <c r="C38" t="s">
        <v>463</v>
      </c>
      <c r="D38" t="s">
        <v>464</v>
      </c>
      <c r="E38" t="str">
        <f>HYPERLINK("https://old-admin.primestyle.com/skin/adminhtml/uploads/comments/1802979341.pdf", "1802979341.pdf")</f>
        <v>1802979341.pdf</v>
      </c>
    </row>
    <row r="39" spans="1:6" x14ac:dyDescent="0.25">
      <c r="A39" t="s">
        <v>175</v>
      </c>
      <c r="B39" t="s">
        <v>200</v>
      </c>
      <c r="C39" t="s">
        <v>465</v>
      </c>
      <c r="D39" t="s">
        <v>415</v>
      </c>
      <c r="E39" t="str">
        <f>HYPERLINK("https://old-admin.primestyle.com/skin/adminhtml/uploads/comments/228948207.pdf", "228948207.pdf")</f>
        <v>228948207.pdf</v>
      </c>
    </row>
    <row r="40" spans="1:6" x14ac:dyDescent="0.25">
      <c r="A40" t="s">
        <v>175</v>
      </c>
      <c r="B40" t="s">
        <v>200</v>
      </c>
      <c r="C40" t="s">
        <v>466</v>
      </c>
      <c r="D40" t="s">
        <v>416</v>
      </c>
      <c r="E40" t="str">
        <f>HYPERLINK("https://old-admin.primestyle.com/skin/adminhtml/uploads/comments/2031077591.pdf", "2031077591.pdf")</f>
        <v>2031077591.pdf</v>
      </c>
    </row>
    <row r="41" spans="1:6" x14ac:dyDescent="0.25">
      <c r="A41" t="s">
        <v>175</v>
      </c>
      <c r="B41" t="s">
        <v>200</v>
      </c>
      <c r="C41" t="s">
        <v>467</v>
      </c>
      <c r="D41" t="s">
        <v>468</v>
      </c>
      <c r="E41" t="str">
        <f>HYPERLINK("https://old-admin.primestyle.com/skin/adminhtml/uploads/comments/1093502648.pdf", "1093502648.pdf")</f>
        <v>1093502648.pdf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Order Page</vt:lpstr>
      <vt:lpstr>Customer Notes</vt:lpstr>
      <vt:lpstr>Diamondse</vt:lpstr>
      <vt:lpstr>Casting</vt:lpstr>
      <vt:lpstr>3D Related</vt:lpstr>
      <vt:lpstr>Employee 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David</cp:lastModifiedBy>
  <dcterms:created xsi:type="dcterms:W3CDTF">2025-09-19T13:35:00Z</dcterms:created>
  <dcterms:modified xsi:type="dcterms:W3CDTF">2025-09-19T16:13:18Z</dcterms:modified>
</cp:coreProperties>
</file>